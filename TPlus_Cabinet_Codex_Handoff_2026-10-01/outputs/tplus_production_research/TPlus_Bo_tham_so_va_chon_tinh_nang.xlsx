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644704e21146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on_tinh_nang" sheetId="1" r:id="R3b17be0bd3574881"/>
    <x:sheet xmlns:r="http://schemas.openxmlformats.org/officeDocument/2006/relationships" name="Tham_so" sheetId="2" r:id="R8657a1701aa34122"/>
    <x:sheet xmlns:r="http://schemas.openxmlformats.org/officeDocument/2006/relationships" name="Ho_so_phu_kien" sheetId="3" r:id="R48a710aafd8b41b7"/>
    <x:sheet xmlns:r="http://schemas.openxmlformats.org/officeDocument/2006/relationships" name="Quy_tac_test" sheetId="4" r:id="Rb0479ad54db245d0"/>
    <x:sheet xmlns:r="http://schemas.openxmlformats.org/officeDocument/2006/relationships" name="Quyet_dinh" sheetId="5" r:id="R93f6468f41d64475"/>
    <x:sheet xmlns:r="http://schemas.openxmlformats.org/officeDocument/2006/relationships" name="Nguon" sheetId="6" r:id="Rf5363cfdcb4e46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dd/mm/yyyy"/>
  </x:numFmts>
  <x:fonts count="6">
    <x:font>
      <x:sz val="11"/>
      <x:name val="Carlito"/>
    </x:font>
    <x:font>
      <x:sz val="11"/>
      <x:color rgb="FF202B33"/>
      <x:name val="Arial"/>
    </x:font>
    <x:font>
      <x:b/>
      <x:sz val="16"/>
      <x:color rgb="FF1C3144"/>
      <x:name val="Arial"/>
    </x:font>
    <x:font>
      <x:b/>
      <x:sz val="11"/>
      <x:color rgb="FFFFFFFF"/>
      <x:name val="Arial"/>
    </x:font>
    <x:font>
      <x:b/>
      <x:sz val="11"/>
      <x:color rgb="FF233C50"/>
      <x:name val="Arial"/>
    </x:font>
    <x:font>
      <x:sz val="11"/>
      <x:color rgb="FF185D9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33C50"/>
      </x:patternFill>
    </x:fill>
    <x:fill>
      <x:patternFill patternType="solid">
        <x:fgColor rgb="FFF2F5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285035"/>
      </x:font>
      <x:fill>
        <x:patternFill patternType="solid">
          <x:bgColor rgb="FFDCECDF"/>
        </x:patternFill>
      </x:fill>
    </x:dxf>
    <x:dxf>
      <x:font>
        <x:color rgb="FF6C737A"/>
      </x:font>
      <x:fill>
        <x:patternFill patternType="solid">
          <x:bgColor rgb="FFEEEF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c161184c2448fe" /><Relationship Type="http://schemas.openxmlformats.org/officeDocument/2006/relationships/theme" Target="/xl/theme/theme1.xml" Id="R5c0d760a58b84a7f" /><Relationship Type="http://schemas.openxmlformats.org/officeDocument/2006/relationships/sharedStrings" Target="/xl/sharedStrings.xml" Id="R9d74378249fe4186" /><Relationship Type="http://schemas.openxmlformats.org/officeDocument/2006/relationships/worksheet" Target="/xl/worksheets/sheet1.xml" Id="R3b17be0bd3574881" /><Relationship Type="http://schemas.openxmlformats.org/officeDocument/2006/relationships/worksheet" Target="/xl/worksheets/sheet2.xml" Id="R8657a1701aa34122" /><Relationship Type="http://schemas.openxmlformats.org/officeDocument/2006/relationships/worksheet" Target="/xl/worksheets/sheet3.xml" Id="R48a710aafd8b41b7" /><Relationship Type="http://schemas.openxmlformats.org/officeDocument/2006/relationships/worksheet" Target="/xl/worksheets/sheet4.xml" Id="Rb0479ad54db245d0" /><Relationship Type="http://schemas.openxmlformats.org/officeDocument/2006/relationships/worksheet" Target="/xl/worksheets/sheet5.xml" Id="R93f6468f41d64475" /><Relationship Type="http://schemas.openxmlformats.org/officeDocument/2006/relationships/worksheet" Target="/xl/worksheets/sheet6.xml" Id="Rf5363cfdcb4e4640" /></Relationships>
</file>

<file path=xl/tables/table1.xml><?xml version="1.0" encoding="utf-8"?>
<x:table xmlns:x="http://schemas.openxmlformats.org/spreadsheetml/2006/main" id="1" name="T_Chon_tinh_nang" displayName="T_Chon_tinh_nang" ref="A7:J59" headerRowCount="1" totalsRowCount="0" totalsRowShown="0">
  <x:autoFilter ref="A7:J59"/>
  <x:tableColumns count="10">
    <x:tableColumn id="1" name="ID"/>
    <x:tableColumn id="2" name="Nhóm"/>
    <x:tableColumn id="3" name="Tính năng"/>
    <x:tableColumn id="4" name="Ưu tiên đề xuất"/>
    <x:tableColumn id="5" name="Dừa chọn"/>
    <x:tableColumn id="6" name="Lý do"/>
    <x:tableColumn id="7" name="Phụ thuộc"/>
    <x:tableColumn id="8" name="Điều kiện nghiệm thu"/>
    <x:tableColumn id="9" name="Nguồn tham khảo"/>
    <x:tableColumn id="10" name="Ghi chú của Dừ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Tham_so" displayName="T_Tham_so" ref="A7:P261" headerRowCount="1" totalsRowCount="0" totalsRowShown="0">
  <x:autoFilter ref="A7:P261"/>
  <x:tableColumns count="16">
    <x:tableColumn id="1" name="ID"/>
    <x:tableColumn id="2" name="Nhóm"/>
    <x:tableColumn id="3" name="Khóa dữ liệu"/>
    <x:tableColumn id="4" name="Tên tham số"/>
    <x:tableColumn id="5" name="Kiểu dữ liệu"/>
    <x:tableColumn id="6" name="Đơn vị"/>
    <x:tableColumn id="7" name="Giá trị đề xuất"/>
    <x:tableColumn id="8" name="Dải hoặc lựa chọn"/>
    <x:tableColumn id="9" name="Quy tắc và ràng buộc"/>
    <x:tableColumn id="10" name="Cấp áp dụng"/>
    <x:tableColumn id="11" name="Giai đoạn"/>
    <x:tableColumn id="12" name="Cơ sở giá trị"/>
    <x:tableColumn id="13" name="Nguồn khái niệm"/>
    <x:tableColumn id="14" name="Dừa chọn"/>
    <x:tableColumn id="15" name="Giá trị Dừa chốt"/>
    <x:tableColumn id="16" name="Ghi chú của Dừ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Ho_so_phu_kien" displayName="T_Ho_so_phu_kien" ref="A7:I12" headerRowCount="1" totalsRowCount="0" totalsRowShown="0">
  <x:autoFilter ref="A7:I12"/>
  <x:tableColumns count="9">
    <x:tableColumn id="1" name="ID"/>
    <x:tableColumn id="2" name="Hãng và hệ"/>
    <x:tableColumn id="3" name="Mã hoặc phạm vi"/>
    <x:tableColumn id="4" name="Dữ liệu trong tài liệu"/>
    <x:tableColumn id="5" name="Định nghĩa và điều kiện"/>
    <x:tableColumn id="6" name="Điểm cần tránh nhầm"/>
    <x:tableColumn id="7" name="Nguồn"/>
    <x:tableColumn id="8" name="Mức hoàn thiện"/>
    <x:tableColumn id="9" name="Dữ liệu còn cầ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Quy_tac_test" displayName="T_Quy_tac_test" ref="A7:H49" headerRowCount="1" totalsRowCount="0" totalsRowShown="0">
  <x:autoFilter ref="A7:H49"/>
  <x:tableColumns count="8">
    <x:tableColumn id="1" name="ID"/>
    <x:tableColumn id="2" name="Ca kiểm thử"/>
    <x:tableColumn id="3" name="Đầu vào và thao tác"/>
    <x:tableColumn id="4" name="Kết quả phải đạt"/>
    <x:tableColumn id="5" name="Giai đoạn"/>
    <x:tableColumn id="6" name="Mức xử lý"/>
    <x:tableColumn id="7" name="Kết quả thử"/>
    <x:tableColumn id="8" name="Ghi ch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Quyet_dinh" displayName="T_Quyet_dinh" ref="A7:G22" headerRowCount="1" totalsRowCount="0" totalsRowShown="0">
  <x:autoFilter ref="A7:G22"/>
  <x:tableColumns count="7">
    <x:tableColumn id="1" name="ID"/>
    <x:tableColumn id="2" name="Chủ đề"/>
    <x:tableColumn id="3" name="Câu hỏi cần chốt"/>
    <x:tableColumn id="4" name="Đề xuất ban đầu"/>
    <x:tableColumn id="5" name="Giai đoạn"/>
    <x:tableColumn id="6" name="Trạng thái"/>
    <x:tableColumn id="7" name="Dừa trả lời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Nguon" displayName="T_Nguon" ref="A7:G41" headerRowCount="1" totalsRowCount="0" totalsRowShown="0">
  <x:autoFilter ref="A7:G41"/>
  <x:tableColumns count="7">
    <x:tableColumn id="1" name="ID"/>
    <x:tableColumn id="2" name="Tài liệu"/>
    <x:tableColumn id="3" name="Loại nguồn"/>
    <x:tableColumn id="4" name="Nội dung đã xác định"/>
    <x:tableColumn id="5" name="Giới hạn"/>
    <x:tableColumn id="6" name="Địa chỉ tài liệu"/>
    <x:tableColumn id="7" name="Ngày tra cứ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84e89f380b42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283e8aa6b04b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905e73cbca242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111f326142b46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0c3c6ed842848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23454a0ff6b4a17" /></Relationships>
</file>

<file path=xl/worksheets/sheet1.xml><?xml version="1.0" encoding="utf-8"?>
<x:worksheet xmlns:x="http://schemas.openxmlformats.org/spreadsheetml/2006/main">
  <x:sheetPr>
    <x:tabColor rgb="FF233C50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36" hidden="0" customWidth="1"/>
    <x:col min="4" max="4" width="14" hidden="0" customWidth="1"/>
    <x:col min="5" max="5" width="17" hidden="0" customWidth="1"/>
    <x:col min="6" max="6" width="46" hidden="0" customWidth="1"/>
    <x:col min="7" max="7" width="19" hidden="0" customWidth="1"/>
    <x:col min="8" max="8" width="58" hidden="0" customWidth="1"/>
    <x:col min="9" max="9" width="20" hidden="0" customWidth="1"/>
    <x:col min="10" max="10" width="4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9" customHeight="1">
      <x:c r="A2" s="4" t="str">
        <x:v>Lựa chọn tính năng phát triển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 t="str">
        <x:v>P0 nền tảng   P1 hồ sơ sản xuất   P2 tối ưu   P3 CNC theo máy   P4 quản lý xưởng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 t="str">
        <x:v>Ô vàng là phần Dừa chọn. Giữ = trong phạm vi; Để sau = hoãn; Bỏ = không làm.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 t="str">
        <x:v>Đã chọn Giữ</x:v>
      </x:c>
      <x:c r="B5" s="2"/>
      <x:c r="C5" s="2" t="n">
        <x:f>COUNTIFS(E8:E59,"Giữ")</x:f>
        <x:v>0</x:v>
      </x:c>
      <x:c r="D5" s="2" t="str">
        <x:v>Chưa chọn</x:v>
      </x:c>
      <x:c r="E5" s="2" t="n">
        <x:f>COUNTIFS(E8:E59,"Chưa chọn")</x:f>
        <x:v>52</x:v>
      </x:c>
      <x:c r="F5" s="2"/>
      <x:c r="G5" s="2"/>
      <x:c r="H5" s="2"/>
      <x:c r="I5" s="2"/>
      <x:c r="J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38" customHeight="1">
      <x:c r="A7" s="8" t="str">
        <x:v>ID</x:v>
      </x:c>
      <x:c r="B7" s="8" t="str">
        <x:v>Nhóm</x:v>
      </x:c>
      <x:c r="C7" s="8" t="str">
        <x:v>Tính năng</x:v>
      </x:c>
      <x:c r="D7" s="8" t="str">
        <x:v>Ưu tiên đề xuất</x:v>
      </x:c>
      <x:c r="E7" s="8" t="str">
        <x:v>Dừa chọn</x:v>
      </x:c>
      <x:c r="F7" s="8" t="str">
        <x:v>Lý do</x:v>
      </x:c>
      <x:c r="G7" s="8" t="str">
        <x:v>Phụ thuộc</x:v>
      </x:c>
      <x:c r="H7" s="8" t="str">
        <x:v>Điều kiện nghiệm thu</x:v>
      </x:c>
      <x:c r="I7" s="8" t="str">
        <x:v>Nguồn tham khảo</x:v>
      </x:c>
      <x:c r="J7" s="8" t="str">
        <x:v>Ghi chú của Dừa</x:v>
      </x:c>
    </x:row>
    <x:row r="8" ht="44" customHeight="1">
      <x:c r="A8" s="12" t="str">
        <x:v>F01</x:v>
      </x:c>
      <x:c r="B8" s="10" t="str">
        <x:v>Nền tảng</x:v>
      </x:c>
      <x:c r="C8" s="10" t="str">
        <x:v>Dữ liệu tấm độc lập hình hiển thị</x:v>
      </x:c>
      <x:c r="D8" s="10" t="str">
        <x:v>P0</x:v>
      </x:c>
      <x:c r="E8" s="14" t="str">
        <x:v>Chưa chọn</x:v>
      </x:c>
      <x:c r="F8" s="10" t="str">
        <x:v>Để một dữ liệu cấp cho mọi đầu ra</x:v>
      </x:c>
      <x:c r="G8" s="10" t="str">
        <x:v>Không</x:v>
      </x:c>
      <x:c r="H8" s="10" t="str">
        <x:v>Mỗi tấm có ID vai trò vật liệu trục và revision</x:v>
      </x:c>
      <x:c r="I8" s="10" t="str">
        <x:v>N27 N12</x:v>
      </x:c>
      <x:c r="J8" s="14"/>
    </x:row>
    <x:row r="9" ht="44" customHeight="1">
      <x:c r="A9" s="13" t="str">
        <x:v>F02</x:v>
      </x:c>
      <x:c r="B9" s="11" t="str">
        <x:v>Nền tảng</x:v>
      </x:c>
      <x:c r="C9" s="11" t="str">
        <x:v>Đơn vị và độ chính xác</x:v>
      </x:c>
      <x:c r="D9" s="11" t="str">
        <x:v>P0</x:v>
      </x:c>
      <x:c r="E9" s="14" t="str">
        <x:v>Chưa chọn</x:v>
      </x:c>
      <x:c r="F9" s="11" t="str">
        <x:v>Tránh sai inch mm và làm tròn sớm</x:v>
      </x:c>
      <x:c r="G9" s="11" t="str">
        <x:v>F01</x:v>
      </x:c>
      <x:c r="H9" s="11" t="str">
        <x:v>Nhập 17.5 mm lưu mở lại không đổi</x:v>
      </x:c>
      <x:c r="I9" s="11" t="str">
        <x:v>N26</x:v>
      </x:c>
      <x:c r="J9" s="14"/>
    </x:row>
    <x:row r="10" ht="44" customHeight="1">
      <x:c r="A10" s="12" t="str">
        <x:v>F03</x:v>
      </x:c>
      <x:c r="B10" s="10" t="str">
        <x:v>Nền tảng</x:v>
      </x:c>
      <x:c r="C10" s="10" t="str">
        <x:v>Hồ sơ xưởng có phiên bản</x:v>
      </x:c>
      <x:c r="D10" s="10" t="str">
        <x:v>P0</x:v>
      </x:c>
      <x:c r="E10" s="14" t="str">
        <x:v>Chưa chọn</x:v>
      </x:c>
      <x:c r="F10" s="10" t="str">
        <x:v>Mỗi xưởng có quy tắc khác nhau</x:v>
      </x:c>
      <x:c r="G10" s="10" t="str">
        <x:v>F01</x:v>
      </x:c>
      <x:c r="H10" s="10" t="str">
        <x:v>Đổi profile mới không sửa gói đã phát hành</x:v>
      </x:c>
      <x:c r="I10" s="10" t="str">
        <x:v>N09 N10</x:v>
      </x:c>
      <x:c r="J10" s="14"/>
    </x:row>
    <x:row r="11" ht="44" customHeight="1">
      <x:c r="A11" s="13" t="str">
        <x:v>F04</x:v>
      </x:c>
      <x:c r="B11" s="11" t="str">
        <x:v>Dựng tủ</x:v>
      </x:c>
      <x:c r="C11" s="11" t="str">
        <x:v>Thùng tủ tham số</x:v>
      </x:c>
      <x:c r="D11" s="11" t="str">
        <x:v>P0</x:v>
      </x:c>
      <x:c r="E11" s="14" t="str">
        <x:v>Chưa chọn</x:v>
      </x:c>
      <x:c r="F11" s="11" t="str">
        <x:v>Nền cho các loại tủ</x:v>
      </x:c>
      <x:c r="G11" s="11" t="str">
        <x:v>F01 F02 F03</x:v>
      </x:c>
      <x:c r="H11" s="11" t="str">
        <x:v>Đổi rộng dày không làm sai lọt lòng</x:v>
      </x:c>
      <x:c r="I11" s="11" t="str">
        <x:v>N05 N09</x:v>
      </x:c>
      <x:c r="J11" s="14"/>
    </x:row>
    <x:row r="12" ht="44" customHeight="1">
      <x:c r="A12" s="12" t="str">
        <x:v>F05</x:v>
      </x:c>
      <x:c r="B12" s="10" t="str">
        <x:v>Dựng tủ</x:v>
      </x:c>
      <x:c r="C12" s="10" t="str">
        <x:v>Chia khoang và đợt</x:v>
      </x:c>
      <x:c r="D12" s="10" t="str">
        <x:v>P0</x:v>
      </x:c>
      <x:c r="E12" s="14" t="str">
        <x:v>Chưa chọn</x:v>
      </x:c>
      <x:c r="F12" s="10" t="str">
        <x:v>Dựng theo khoang thay vì cộng tấm thủ công</x:v>
      </x:c>
      <x:c r="G12" s="10" t="str">
        <x:v>F04</x:v>
      </x:c>
      <x:c r="H12" s="10" t="str">
        <x:v>Tổng khoang và vách đúng phủ bì</x:v>
      </x:c>
      <x:c r="I12" s="10" t="str">
        <x:v>N09</x:v>
      </x:c>
      <x:c r="J12" s="14"/>
    </x:row>
    <x:row r="13" ht="44" customHeight="1">
      <x:c r="A13" s="13" t="str">
        <x:v>F06</x:v>
      </x:c>
      <x:c r="B13" s="11" t="str">
        <x:v>Dựng tủ</x:v>
      </x:c>
      <x:c r="C13" s="11" t="str">
        <x:v>Hậu phủ âm và rãnh</x:v>
      </x:c>
      <x:c r="D13" s="11" t="str">
        <x:v>P0</x:v>
      </x:c>
      <x:c r="E13" s="14" t="str">
        <x:v>Chưa chọn</x:v>
      </x:c>
      <x:c r="F13" s="11" t="str">
        <x:v>Xưởng cần nhiều kiểu hậu</x:v>
      </x:c>
      <x:c r="G13" s="11" t="str">
        <x:v>F04</x:v>
      </x:c>
      <x:c r="H13" s="11" t="str">
        <x:v>Mỗi kiểu hậu có kích thước và rãnh đúng</x:v>
      </x:c>
      <x:c r="I13" s="11" t="str">
        <x:v>N09</x:v>
      </x:c>
      <x:c r="J13" s="14"/>
    </x:row>
    <x:row r="14" ht="44" customHeight="1">
      <x:c r="A14" s="12" t="str">
        <x:v>F07</x:v>
      </x:c>
      <x:c r="B14" s="10" t="str">
        <x:v>Dựng tủ</x:v>
      </x:c>
      <x:c r="C14" s="10" t="str">
        <x:v>Cánh và mặt hộc tham số</x:v>
      </x:c>
      <x:c r="D14" s="10" t="str">
        <x:v>P0</x:v>
      </x:c>
      <x:c r="E14" s="14" t="str">
        <x:v>Chưa chọn</x:v>
      </x:c>
      <x:c r="F14" s="10" t="str">
        <x:v>Giữ khe cánh khi đổi kích thước</x:v>
      </x:c>
      <x:c r="G14" s="10" t="str">
        <x:v>F05</x:v>
      </x:c>
      <x:c r="H14" s="10" t="str">
        <x:v>Một hai nhiều cánh đều khớp opening</x:v>
      </x:c>
      <x:c r="I14" s="10" t="str">
        <x:v>N07</x:v>
      </x:c>
      <x:c r="J14" s="14"/>
    </x:row>
    <x:row r="15" ht="44" customHeight="1">
      <x:c r="A15" s="13" t="str">
        <x:v>F08</x:v>
      </x:c>
      <x:c r="B15" s="11" t="str">
        <x:v>Dựng tủ</x:v>
      </x:c>
      <x:c r="C15" s="11" t="str">
        <x:v>Hộc kéo lộ và hộc âm</x:v>
      </x:c>
      <x:c r="D15" s="11" t="str">
        <x:v>P0</x:v>
      </x:c>
      <x:c r="E15" s="14" t="str">
        <x:v>Chưa chọn</x:v>
      </x:c>
      <x:c r="F15" s="11" t="str">
        <x:v>Tách clearance ray diềm và spacer</x:v>
      </x:c>
      <x:c r="G15" s="11" t="str">
        <x:v>F05 F07</x:v>
      </x:c>
      <x:c r="H15" s="11" t="str">
        <x:v>Hộc âm mở được sau cánh và giữ đúng diềm</x:v>
      </x:c>
      <x:c r="I15" s="11" t="str">
        <x:v>N20 N21</x:v>
      </x:c>
      <x:c r="J15" s="14"/>
    </x:row>
    <x:row r="16" ht="44" customHeight="1">
      <x:c r="A16" s="12" t="str">
        <x:v>F09</x:v>
      </x:c>
      <x:c r="B16" s="10" t="str">
        <x:v>Dựng tủ</x:v>
      </x:c>
      <x:c r="C16" s="10" t="str">
        <x:v>Module tủ áo cao</x:v>
      </x:c>
      <x:c r="D16" s="10" t="str">
        <x:v>P0</x:v>
      </x:c>
      <x:c r="E16" s="14" t="str">
        <x:v>Chưa chọn</x:v>
      </x:c>
      <x:c r="F16" s="10" t="str">
        <x:v>Kiểm khổ ván và vận chuyển</x:v>
      </x:c>
      <x:c r="G16" s="10" t="str">
        <x:v>F04 F05</x:v>
      </x:c>
      <x:c r="H16" s="10" t="str">
        <x:v>Vượt khổ bị cảnh báo và chia có chủ đích</x:v>
      </x:c>
      <x:c r="I16" s="10" t="str">
        <x:v>N09</x:v>
      </x:c>
      <x:c r="J16" s="14"/>
    </x:row>
    <x:row r="17" ht="44" customHeight="1">
      <x:c r="A17" s="13" t="str">
        <x:v>F10</x:v>
      </x:c>
      <x:c r="B17" s="11" t="str">
        <x:v>Dựng tủ</x:v>
      </x:c>
      <x:c r="C17" s="11" t="str">
        <x:v>Module độc lập hoặc vách chung</x:v>
      </x:c>
      <x:c r="D17" s="11" t="str">
        <x:v>P0</x:v>
      </x:c>
      <x:c r="E17" s="14" t="str">
        <x:v>Chưa chọn</x:v>
      </x:c>
      <x:c r="F17" s="11" t="str">
        <x:v>Tránh sai số lượng hồi</x:v>
      </x:c>
      <x:c r="G17" s="11" t="str">
        <x:v>F04</x:v>
      </x:c>
      <x:c r="H17" s="11" t="str">
        <x:v>Ba module độc lập có đủ sáu hồi</x:v>
      </x:c>
      <x:c r="I17" s="11" t="str">
        <x:v>N09</x:v>
      </x:c>
      <x:c r="J17" s="14"/>
    </x:row>
    <x:row r="18" ht="44" customHeight="1">
      <x:c r="A18" s="12" t="str">
        <x:v>F11</x:v>
      </x:c>
      <x:c r="B18" s="10" t="str">
        <x:v>Dựng tủ</x:v>
      </x:c>
      <x:c r="C18" s="10" t="str">
        <x:v>Khe móc tay và xà chặn</x:v>
      </x:c>
      <x:c r="D18" s="10" t="str">
        <x:v>P0</x:v>
      </x:c>
      <x:c r="E18" s="14" t="str">
        <x:v>Chưa chọn</x:v>
      </x:c>
      <x:c r="F18" s="10" t="str">
        <x:v>Theo cấu tạo T+</x:v>
      </x:c>
      <x:c r="G18" s="10" t="str">
        <x:v>F07</x:v>
      </x:c>
      <x:c r="H18" s="10" t="str">
        <x:v>Khe đúng và xà không chạm mặt hộc</x:v>
      </x:c>
      <x:c r="I18" s="10" t="str">
        <x:v>Đề xuất T+</x:v>
      </x:c>
      <x:c r="J18" s="14"/>
    </x:row>
    <x:row r="19" ht="44" customHeight="1">
      <x:c r="A19" s="13" t="str">
        <x:v>F12</x:v>
      </x:c>
      <x:c r="B19" s="11" t="str">
        <x:v>Dữ liệu</x:v>
      </x:c>
      <x:c r="C19" s="11" t="str">
        <x:v>Danh mục vật liệu sản xuất</x:v>
      </x:c>
      <x:c r="D19" s="11" t="str">
        <x:v>P0</x:v>
      </x:c>
      <x:c r="E19" s="14" t="str">
        <x:v>Chưa chọn</x:v>
      </x:c>
      <x:c r="F19" s="11" t="str">
        <x:v>Texture không đại diện đủ vật liệu</x:v>
      </x:c>
      <x:c r="G19" s="11" t="str">
        <x:v>F01</x:v>
      </x:c>
      <x:c r="H19" s="11" t="str">
        <x:v>Cùng texture khác dày vẫn khác vật liệu</x:v>
      </x:c>
      <x:c r="I19" s="11" t="str">
        <x:v>N11</x:v>
      </x:c>
      <x:c r="J19" s="14"/>
    </x:row>
    <x:row r="20" ht="44" customHeight="1">
      <x:c r="A20" s="12" t="str">
        <x:v>F13</x:v>
      </x:c>
      <x:c r="B20" s="10" t="str">
        <x:v>Dữ liệu</x:v>
      </x:c>
      <x:c r="C20" s="10" t="str">
        <x:v>Bốn cạnh và trừ nẹp</x:v>
      </x:c>
      <x:c r="D20" s="10" t="str">
        <x:v>P0</x:v>
      </x:c>
      <x:c r="E20" s="14" t="str">
        <x:v>Chưa chọn</x:v>
      </x:c>
      <x:c r="F20" s="10" t="str">
        <x:v>Tránh cắt dư thiếu do nẹp</x:v>
      </x:c>
      <x:c r="G20" s="10" t="str">
        <x:v>F12</x:v>
      </x:c>
      <x:c r="H20" s="10" t="str">
        <x:v>Kích thước hoàn thiện lõi và phôi phân biệt</x:v>
      </x:c>
      <x:c r="I20" s="10" t="str">
        <x:v>N11</x:v>
      </x:c>
      <x:c r="J20" s="14"/>
    </x:row>
    <x:row r="21" ht="44" customHeight="1">
      <x:c r="A21" s="13" t="str">
        <x:v>F14</x:v>
      </x:c>
      <x:c r="B21" s="11" t="str">
        <x:v>Dữ liệu</x:v>
      </x:c>
      <x:c r="C21" s="11" t="str">
        <x:v>Trục local và hướng vân</x:v>
      </x:c>
      <x:c r="D21" s="11" t="str">
        <x:v>P0</x:v>
      </x:c>
      <x:c r="E21" s="14" t="str">
        <x:v>Chưa chọn</x:v>
      </x:c>
      <x:c r="F21" s="11" t="str">
        <x:v>Xoay tủ không đổi kích thước tấm</x:v>
      </x:c>
      <x:c r="G21" s="11" t="str">
        <x:v>F01</x:v>
      </x:c>
      <x:c r="H21" s="11" t="str">
        <x:v>Mirror vẫn giữ đúng mặt đẹp và cạnh</x:v>
      </x:c>
      <x:c r="I21" s="11" t="str">
        <x:v>N12</x:v>
      </x:c>
      <x:c r="J21" s="14"/>
    </x:row>
    <x:row r="22" ht="44" customHeight="1">
      <x:c r="A22" s="12" t="str">
        <x:v>F15</x:v>
      </x:c>
      <x:c r="B22" s="10" t="str">
        <x:v>Dữ liệu</x:v>
      </x:c>
      <x:c r="C22" s="10" t="str">
        <x:v>ID revision và copy an toàn</x:v>
      </x:c>
      <x:c r="D22" s="10" t="str">
        <x:v>P0</x:v>
      </x:c>
      <x:c r="E22" s="14" t="str">
        <x:v>Chưa chọn</x:v>
      </x:c>
      <x:c r="F22" s="10" t="str">
        <x:v>Theo tấm qua thiết kế và xưởng</x:v>
      </x:c>
      <x:c r="G22" s="10" t="str">
        <x:v>F01</x:v>
      </x:c>
      <x:c r="H22" s="10" t="str">
        <x:v>Copy không trùng ID; sửa phát sinh revision</x:v>
      </x:c>
      <x:c r="I22" s="10" t="str">
        <x:v>N16 N27</x:v>
      </x:c>
      <x:c r="J22" s="14"/>
    </x:row>
    <x:row r="23" ht="44" customHeight="1">
      <x:c r="A23" s="13" t="str">
        <x:v>F16</x:v>
      </x:c>
      <x:c r="B23" s="11" t="str">
        <x:v>Kiểm lỗi</x:v>
      </x:c>
      <x:c r="C23" s="11" t="str">
        <x:v>Kiểm mô hình trước xuất</x:v>
      </x:c>
      <x:c r="D23" s="11" t="str">
        <x:v>P0</x:v>
      </x:c>
      <x:c r="E23" s="14" t="str">
        <x:v>Chưa chọn</x:v>
      </x:c>
      <x:c r="F23" s="11" t="str">
        <x:v>Chặn mất part vật liệu hoặc kích thước âm</x:v>
      </x:c>
      <x:c r="G23" s="11" t="str">
        <x:v>F04 F12 F14</x:v>
      </x:c>
      <x:c r="H23" s="11" t="str">
        <x:v>Lỗi chỉ đúng đối tượng và không phát hành</x:v>
      </x:c>
      <x:c r="I23" s="11" t="str">
        <x:v>N08</x:v>
      </x:c>
      <x:c r="J23" s="14"/>
    </x:row>
    <x:row r="24" ht="44" customHeight="1">
      <x:c r="A24" s="12" t="str">
        <x:v>F17</x:v>
      </x:c>
      <x:c r="B24" s="10" t="str">
        <x:v>Đầu ra</x:v>
      </x:c>
      <x:c r="C24" s="10" t="str">
        <x:v>Bảng tấm và BOM</x:v>
      </x:c>
      <x:c r="D24" s="10" t="str">
        <x:v>P0</x:v>
      </x:c>
      <x:c r="E24" s="14" t="str">
        <x:v>Chưa chọn</x:v>
      </x:c>
      <x:c r="F24" s="10" t="str">
        <x:v>Có đầu ra sản xuất sớm</x:v>
      </x:c>
      <x:c r="G24" s="10" t="str">
        <x:v>F13 F15 F16</x:v>
      </x:c>
      <x:c r="H24" s="10" t="str">
        <x:v>Bảng tấm khớp từng part và số instance</x:v>
      </x:c>
      <x:c r="I24" s="10" t="str">
        <x:v>N05 N16</x:v>
      </x:c>
      <x:c r="J24" s="14"/>
    </x:row>
    <x:row r="25" ht="44" customHeight="1">
      <x:c r="A25" s="13" t="str">
        <x:v>F18</x:v>
      </x:c>
      <x:c r="B25" s="11" t="str">
        <x:v>Phụ kiện</x:v>
      </x:c>
      <x:c r="C25" s="11" t="str">
        <x:v>Kho SKU và version</x:v>
      </x:c>
      <x:c r="D25" s="11" t="str">
        <x:v>P1</x:v>
      </x:c>
      <x:c r="E25" s="14" t="str">
        <x:v>Chưa chọn</x:v>
      </x:c>
      <x:c r="F25" s="11" t="str">
        <x:v>Không hardcode thông số phần cứng</x:v>
      </x:c>
      <x:c r="G25" s="11" t="str">
        <x:v>F03 F12</x:v>
      </x:c>
      <x:c r="H25" s="11" t="str">
        <x:v>Hai mã bản lề dùng hai profile khác nhau</x:v>
      </x:c>
      <x:c r="I25" s="11" t="str">
        <x:v>N22 N23</x:v>
      </x:c>
      <x:c r="J25" s="14"/>
    </x:row>
    <x:row r="26" ht="44" customHeight="1">
      <x:c r="A26" s="12" t="str">
        <x:v>F19</x:v>
      </x:c>
      <x:c r="B26" s="10" t="str">
        <x:v>Phụ kiện</x:v>
      </x:c>
      <x:c r="C26" s="10" t="str">
        <x:v>Bản lề và đế tự đặt</x:v>
      </x:c>
      <x:c r="D26" s="10" t="str">
        <x:v>P1</x:v>
      </x:c>
      <x:c r="E26" s="14" t="str">
        <x:v>Chưa chọn</x:v>
      </x:c>
      <x:c r="F26" s="10" t="str">
        <x:v>Sinh cả BOM và khoan</x:v>
      </x:c>
      <x:c r="G26" s="10" t="str">
        <x:v>F07 F18</x:v>
      </x:c>
      <x:c r="H26" s="10" t="str">
        <x:v>Chén đế và số lượng đúng cấu hình</x:v>
      </x:c>
      <x:c r="I26" s="10" t="str">
        <x:v>N07 N22</x:v>
      </x:c>
      <x:c r="J26" s="14"/>
    </x:row>
    <x:row r="27" ht="44" customHeight="1">
      <x:c r="A27" s="13" t="str">
        <x:v>F20</x:v>
      </x:c>
      <x:c r="B27" s="11" t="str">
        <x:v>Phụ kiện</x:v>
      </x:c>
      <x:c r="C27" s="11" t="str">
        <x:v>Ray và bộ hộc theo SKU</x:v>
      </x:c>
      <x:c r="D27" s="11" t="str">
        <x:v>P1</x:v>
      </x:c>
      <x:c r="E27" s="14" t="str">
        <x:v>Chưa chọn</x:v>
      </x:c>
      <x:c r="F27" s="11" t="str">
        <x:v>Mỗi ray có công thức khác</x:v>
      </x:c>
      <x:c r="G27" s="11" t="str">
        <x:v>F08 F18</x:v>
      </x:c>
      <x:c r="H27" s="11" t="str">
        <x:v>Thay ray cập nhật hộc và nguyên công</x:v>
      </x:c>
      <x:c r="I27" s="11" t="str">
        <x:v>N20 N21</x:v>
      </x:c>
      <x:c r="J27" s="14"/>
    </x:row>
    <x:row r="28" ht="44" customHeight="1">
      <x:c r="A28" s="12" t="str">
        <x:v>F21</x:v>
      </x:c>
      <x:c r="B28" s="10" t="str">
        <x:v>Phụ kiện</x:v>
      </x:c>
      <x:c r="C28" s="10" t="str">
        <x:v>Cam chốt vít và connector</x:v>
      </x:c>
      <x:c r="D28" s="10" t="str">
        <x:v>P1</x:v>
      </x:c>
      <x:c r="E28" s="14" t="str">
        <x:v>Chưa chọn</x:v>
      </x:c>
      <x:c r="F28" s="10" t="str">
        <x:v>Mối ghép sinh nguyên công đôi</x:v>
      </x:c>
      <x:c r="G28" s="10" t="str">
        <x:v>F18</x:v>
      </x:c>
      <x:c r="H28" s="10" t="str">
        <x:v>Hai tấm ghép thử khớp vị trí</x:v>
      </x:c>
      <x:c r="I28" s="10" t="str">
        <x:v>N24 N05</x:v>
      </x:c>
      <x:c r="J28" s="14"/>
    </x:row>
    <x:row r="29" ht="44" customHeight="1">
      <x:c r="A29" s="13" t="str">
        <x:v>F22</x:v>
      </x:c>
      <x:c r="B29" s="11" t="str">
        <x:v>Phụ kiện</x:v>
      </x:c>
      <x:c r="C29" s="11" t="str">
        <x:v>Hàng lỗ hệ 32 tùy chỉnh</x:v>
      </x:c>
      <x:c r="D29" s="11" t="str">
        <x:v>P1</x:v>
      </x:c>
      <x:c r="E29" s="14" t="str">
        <x:v>Chưa chọn</x:v>
      </x:c>
      <x:c r="F29" s="11" t="str">
        <x:v>Phối hợp đợt bản lề ray</x:v>
      </x:c>
      <x:c r="G29" s="11" t="str">
        <x:v>F05 F18</x:v>
      </x:c>
      <x:c r="H29" s="11" t="str">
        <x:v>Không khoan vào vùng cấm</x:v>
      </x:c>
      <x:c r="I29" s="11" t="str">
        <x:v>N05</x:v>
      </x:c>
      <x:c r="J29" s="14"/>
    </x:row>
    <x:row r="30" ht="44" customHeight="1">
      <x:c r="A30" s="12" t="str">
        <x:v>F23</x:v>
      </x:c>
      <x:c r="B30" s="10" t="str">
        <x:v>Nguyên công</x:v>
      </x:c>
      <x:c r="C30" s="10" t="str">
        <x:v>Mô hình nguyên công trung gian</x:v>
      </x:c>
      <x:c r="D30" s="10" t="str">
        <x:v>P1</x:v>
      </x:c>
      <x:c r="E30" s="14" t="str">
        <x:v>Chưa chọn</x:v>
      </x:c>
      <x:c r="F30" s="10" t="str">
        <x:v>Tách khoan rãnh khỏi post</x:v>
      </x:c>
      <x:c r="G30" s="10" t="str">
        <x:v>F14 F18</x:v>
      </x:c>
      <x:c r="H30" s="10" t="str">
        <x:v>Mỗi op có face tọa độ depth owner</x:v>
      </x:c>
      <x:c r="I30" s="10" t="str">
        <x:v>N06 N17</x:v>
      </x:c>
      <x:c r="J30" s="14"/>
    </x:row>
    <x:row r="31" ht="44" customHeight="1">
      <x:c r="A31" s="13" t="str">
        <x:v>F24</x:v>
      </x:c>
      <x:c r="B31" s="11" t="str">
        <x:v>Nguyên công</x:v>
      </x:c>
      <x:c r="C31" s="11" t="str">
        <x:v>Preview lỗ rãnh hai mặt</x:v>
      </x:c>
      <x:c r="D31" s="11" t="str">
        <x:v>P1</x:v>
      </x:c>
      <x:c r="E31" s="14" t="str">
        <x:v>Chưa chọn</x:v>
      </x:c>
      <x:c r="F31" s="11" t="str">
        <x:v>Kiểm trước khi chuyển CAM</x:v>
      </x:c>
      <x:c r="G31" s="11" t="str">
        <x:v>F23</x:v>
      </x:c>
      <x:c r="H31" s="11" t="str">
        <x:v>Ẩn mesh khoan không mất dữ liệu op</x:v>
      </x:c>
      <x:c r="I31" s="11" t="str">
        <x:v>N06</x:v>
      </x:c>
      <x:c r="J31" s="14"/>
    </x:row>
    <x:row r="32" ht="44" customHeight="1">
      <x:c r="A32" s="12" t="str">
        <x:v>F25</x:v>
      </x:c>
      <x:c r="B32" s="10" t="str">
        <x:v>Nguyên công</x:v>
      </x:c>
      <x:c r="C32" s="10" t="str">
        <x:v>Kiểm giao cắt và xuyên mặt</x:v>
      </x:c>
      <x:c r="D32" s="10" t="str">
        <x:v>P1</x:v>
      </x:c>
      <x:c r="E32" s="14" t="str">
        <x:v>Chưa chọn</x:v>
      </x:c>
      <x:c r="F32" s="10" t="str">
        <x:v>Tránh lỗ đụng rãnh và mặt đẹp</x:v>
      </x:c>
      <x:c r="G32" s="10" t="str">
        <x:v>F23</x:v>
      </x:c>
      <x:c r="H32" s="10" t="str">
        <x:v>Cảnh báo đúng cặp op và part</x:v>
      </x:c>
      <x:c r="I32" s="10" t="str">
        <x:v>N17</x:v>
      </x:c>
      <x:c r="J32" s="14"/>
    </x:row>
    <x:row r="33" ht="44" customHeight="1">
      <x:c r="A33" s="13" t="str">
        <x:v>F26</x:v>
      </x:c>
      <x:c r="B33" s="11" t="str">
        <x:v>Bản vẽ</x:v>
      </x:c>
      <x:c r="C33" s="11" t="str">
        <x:v>Hình chiếu mặt cắt kích thước</x:v>
      </x:c>
      <x:c r="D33" s="11" t="str">
        <x:v>P1</x:v>
      </x:c>
      <x:c r="E33" s="14" t="str">
        <x:v>Chưa chọn</x:v>
      </x:c>
      <x:c r="F33" s="11" t="str">
        <x:v>Hồ sơ xưởng và duyệt khách</x:v>
      </x:c>
      <x:c r="G33" s="11" t="str">
        <x:v>F15 F17</x:v>
      </x:c>
      <x:c r="H33" s="11" t="str">
        <x:v>Bản vẽ và bảng tấm cùng revision</x:v>
      </x:c>
      <x:c r="I33" s="11" t="str">
        <x:v>N05 N16</x:v>
      </x:c>
      <x:c r="J33" s="14"/>
    </x:row>
    <x:row r="34" ht="44" customHeight="1">
      <x:c r="A34" s="12" t="str">
        <x:v>F27</x:v>
      </x:c>
      <x:c r="B34" s="10" t="str">
        <x:v>Bản vẽ</x:v>
      </x:c>
      <x:c r="C34" s="10" t="str">
        <x:v>Exploded và mã tấm</x:v>
      </x:c>
      <x:c r="D34" s="10" t="str">
        <x:v>P1</x:v>
      </x:c>
      <x:c r="E34" s="14" t="str">
        <x:v>Chưa chọn</x:v>
      </x:c>
      <x:c r="F34" s="10" t="str">
        <x:v>Hướng dẫn ráp lắp</x:v>
      </x:c>
      <x:c r="G34" s="10" t="str">
        <x:v>F15 F26</x:v>
      </x:c>
      <x:c r="H34" s="10" t="str">
        <x:v>Mã trên exploded trùng nhãn</x:v>
      </x:c>
      <x:c r="I34" s="10" t="str">
        <x:v>N16</x:v>
      </x:c>
      <x:c r="J34" s="14"/>
    </x:row>
    <x:row r="35" ht="44" customHeight="1">
      <x:c r="A35" s="13" t="str">
        <x:v>F28</x:v>
      </x:c>
      <x:c r="B35" s="11" t="str">
        <x:v>Bản vẽ</x:v>
      </x:c>
      <x:c r="C35" s="11" t="str">
        <x:v>Nhãn QR và sơ đồ cạnh</x:v>
      </x:c>
      <x:c r="D35" s="11" t="str">
        <x:v>P1</x:v>
      </x:c>
      <x:c r="E35" s="14" t="str">
        <x:v>Chưa chọn</x:v>
      </x:c>
      <x:c r="F35" s="11" t="str">
        <x:v>Truy vết đúng tấm</x:v>
      </x:c>
      <x:c r="G35" s="11" t="str">
        <x:v>F15 F17</x:v>
      </x:c>
      <x:c r="H35" s="11" t="str">
        <x:v>Quét mã ra đúng part revision</x:v>
      </x:c>
      <x:c r="I35" s="11" t="str">
        <x:v>N14 N16</x:v>
      </x:c>
      <x:c r="J35" s="14"/>
    </x:row>
    <x:row r="36" ht="44" customHeight="1">
      <x:c r="A36" s="12" t="str">
        <x:v>F29</x:v>
      </x:c>
      <x:c r="B36" s="10" t="str">
        <x:v>Bản vẽ</x:v>
      </x:c>
      <x:c r="C36" s="10" t="str">
        <x:v>Ký hiệu cánh và hộc T+</x:v>
      </x:c>
      <x:c r="D36" s="10" t="str">
        <x:v>P1</x:v>
      </x:c>
      <x:c r="E36" s="14" t="str">
        <x:v>Chưa chọn</x:v>
      </x:c>
      <x:c r="F36" s="10" t="str">
        <x:v>Theo cách triển khai hồ sơ T+</x:v>
      </x:c>
      <x:c r="G36" s="10" t="str">
        <x:v>F07</x:v>
      </x:c>
      <x:c r="H36" s="10" t="str">
        <x:v>Guide xóa được không vào BOM CAM</x:v>
      </x:c>
      <x:c r="I36" s="10" t="str">
        <x:v>Đề xuất T+</x:v>
      </x:c>
      <x:c r="J36" s="14"/>
    </x:row>
    <x:row r="37" ht="44" customHeight="1">
      <x:c r="A37" s="13" t="str">
        <x:v>F30</x:v>
      </x:c>
      <x:c r="B37" s="11" t="str">
        <x:v>Đầu ra</x:v>
      </x:c>
      <x:c r="C37" s="11" t="str">
        <x:v>DXF theo layer CAM đích</x:v>
      </x:c>
      <x:c r="D37" s="11" t="str">
        <x:v>P1</x:v>
      </x:c>
      <x:c r="E37" s="14" t="str">
        <x:v>Chưa chọn</x:v>
      </x:c>
      <x:c r="F37" s="11" t="str">
        <x:v>Chuyển sang CAM đang có</x:v>
      </x:c>
      <x:c r="G37" s="11" t="str">
        <x:v>F23 F25</x:v>
      </x:c>
      <x:c r="H37" s="11" t="str">
        <x:v>CAM đọc đúng đơn vị mặt và sâu</x:v>
      </x:c>
      <x:c r="I37" s="11" t="str">
        <x:v>N06</x:v>
      </x:c>
      <x:c r="J37" s="14"/>
    </x:row>
    <x:row r="38" ht="44" customHeight="1">
      <x:c r="A38" s="12" t="str">
        <x:v>F31</x:v>
      </x:c>
      <x:c r="B38" s="10" t="str">
        <x:v>Phát hành</x:v>
      </x:c>
      <x:c r="C38" s="10" t="str">
        <x:v>Đóng gói đợt sản xuất</x:v>
      </x:c>
      <x:c r="D38" s="10" t="str">
        <x:v>P1</x:v>
      </x:c>
      <x:c r="E38" s="14" t="str">
        <x:v>Chưa chọn</x:v>
      </x:c>
      <x:c r="F38" s="10" t="str">
        <x:v>Không trộn bản vẽ nhãn và NC</x:v>
      </x:c>
      <x:c r="G38" s="10" t="str">
        <x:v>F15 F17 F26 F28</x:v>
      </x:c>
      <x:c r="H38" s="10" t="str">
        <x:v>Thay thiết kế báo gói cũ obsolete</x:v>
      </x:c>
      <x:c r="I38" s="10" t="str">
        <x:v>N16</x:v>
      </x:c>
      <x:c r="J38" s="14"/>
    </x:row>
    <x:row r="39" ht="44" customHeight="1">
      <x:c r="A39" s="13" t="str">
        <x:v>F32</x:v>
      </x:c>
      <x:c r="B39" s="11" t="str">
        <x:v>Nesting</x:v>
      </x:c>
      <x:c r="C39" s="11" t="str">
        <x:v>Xếp chữ nhật theo đường cưa</x:v>
      </x:c>
      <x:c r="D39" s="11" t="str">
        <x:v>P2</x:v>
      </x:c>
      <x:c r="E39" s="14" t="str">
        <x:v>Chưa chọn</x:v>
      </x:c>
      <x:c r="F39" s="11" t="str">
        <x:v>Phù hợp panel saw</x:v>
      </x:c>
      <x:c r="G39" s="11" t="str">
        <x:v>F13 F17</x:v>
      </x:c>
      <x:c r="H39" s="11" t="str">
        <x:v>Đủ chi tiết có kerf và trình tự cắt hợp lệ</x:v>
      </x:c>
      <x:c r="I39" s="11" t="str">
        <x:v>N31</x:v>
      </x:c>
      <x:c r="J39" s="14"/>
    </x:row>
    <x:row r="40" ht="44" customHeight="1">
      <x:c r="A40" s="12" t="str">
        <x:v>F33</x:v>
      </x:c>
      <x:c r="B40" s="10" t="str">
        <x:v>Nesting</x:v>
      </x:c>
      <x:c r="C40" s="10" t="str">
        <x:v>Xếp router và hình bất quy tắc</x:v>
      </x:c>
      <x:c r="D40" s="10" t="str">
        <x:v>P2</x:v>
      </x:c>
      <x:c r="E40" s="14" t="str">
        <x:v>Chưa chọn</x:v>
      </x:c>
      <x:c r="F40" s="10" t="str">
        <x:v>Tận dụng biên dạng thực</x:v>
      </x:c>
      <x:c r="G40" s="10" t="str">
        <x:v>F14 F23</x:v>
      </x:c>
      <x:c r="H40" s="10" t="str">
        <x:v>Không chồng biên dạng và vùng dao</x:v>
      </x:c>
      <x:c r="I40" s="10" t="str">
        <x:v>N32 N14</x:v>
      </x:c>
      <x:c r="J40" s="14"/>
    </x:row>
    <x:row r="41" ht="44" customHeight="1">
      <x:c r="A41" s="13" t="str">
        <x:v>F34</x:v>
      </x:c>
      <x:c r="B41" s="11" t="str">
        <x:v>Nesting</x:v>
      </x:c>
      <x:c r="C41" s="11" t="str">
        <x:v>Ván dư và nhiều khổ ván</x:v>
      </x:c>
      <x:c r="D41" s="11" t="str">
        <x:v>P2</x:v>
      </x:c>
      <x:c r="E41" s="14" t="str">
        <x:v>Chưa chọn</x:v>
      </x:c>
      <x:c r="F41" s="11" t="str">
        <x:v>Tối ưu theo tồn kho thực</x:v>
      </x:c>
      <x:c r="G41" s="11" t="str">
        <x:v>F12 F32</x:v>
      </x:c>
      <x:c r="H41" s="11" t="str">
        <x:v>Không sử dụng quá số lượng tồn</x:v>
      </x:c>
      <x:c r="I41" s="11" t="str">
        <x:v>N13 N31</x:v>
      </x:c>
      <x:c r="J41" s="14"/>
    </x:row>
    <x:row r="42" ht="44" customHeight="1">
      <x:c r="A42" s="12" t="str">
        <x:v>F35</x:v>
      </x:c>
      <x:c r="B42" s="10" t="str">
        <x:v>Nesting</x:v>
      </x:c>
      <x:c r="C42" s="10" t="str">
        <x:v>Liền vân theo nhóm cánh</x:v>
      </x:c>
      <x:c r="D42" s="10" t="str">
        <x:v>P2</x:v>
      </x:c>
      <x:c r="E42" s="14" t="str">
        <x:v>Chưa chọn</x:v>
      </x:c>
      <x:c r="F42" s="10" t="str">
        <x:v>Giữ mạch vân liên tục</x:v>
      </x:c>
      <x:c r="G42" s="10" t="str">
        <x:v>F07 F14 F33</x:v>
      </x:c>
      <x:c r="H42" s="10" t="str">
        <x:v>Đúng thứ tự và offset tương đối</x:v>
      </x:c>
      <x:c r="I42" s="10" t="str">
        <x:v>Đề xuất T+</x:v>
      </x:c>
      <x:c r="J42" s="14"/>
    </x:row>
    <x:row r="43" ht="44" customHeight="1">
      <x:c r="A43" s="13" t="str">
        <x:v>F36</x:v>
      </x:c>
      <x:c r="B43" s="11" t="str">
        <x:v>Nesting</x:v>
      </x:c>
      <x:c r="C43" s="11" t="str">
        <x:v>Khóa tay và chạy lại một phần</x:v>
      </x:c>
      <x:c r="D43" s="11" t="str">
        <x:v>P2</x:v>
      </x:c>
      <x:c r="E43" s="14" t="str">
        <x:v>Chưa chọn</x:v>
      </x:c>
      <x:c r="F43" s="11" t="str">
        <x:v>Xưởng có thể chỉnh phương án</x:v>
      </x:c>
      <x:c r="G43" s="11" t="str">
        <x:v>F33</x:v>
      </x:c>
      <x:c r="H43" s="11" t="str">
        <x:v>Part khóa không bị dời</x:v>
      </x:c>
      <x:c r="I43" s="11" t="str">
        <x:v>N14</x:v>
      </x:c>
      <x:c r="J43" s="14"/>
    </x:row>
    <x:row r="44" ht="44" customHeight="1">
      <x:c r="A44" s="12" t="str">
        <x:v>F37</x:v>
      </x:c>
      <x:c r="B44" s="10" t="str">
        <x:v>Sản xuất</x:v>
      </x:c>
      <x:c r="C44" s="10" t="str">
        <x:v>Làm lại từng tấm</x:v>
      </x:c>
      <x:c r="D44" s="10" t="str">
        <x:v>P2</x:v>
      </x:c>
      <x:c r="E44" s="14" t="str">
        <x:v>Chưa chọn</x:v>
      </x:c>
      <x:c r="F44" s="10" t="str">
        <x:v>Tấm hỏng không làm lại cả đơn</x:v>
      </x:c>
      <x:c r="G44" s="10" t="str">
        <x:v>F15 F31</x:v>
      </x:c>
      <x:c r="H44" s="10" t="str">
        <x:v>Recut đúng revision và tăng đúng một tấm</x:v>
      </x:c>
      <x:c r="I44" s="10" t="str">
        <x:v>N14</x:v>
      </x:c>
      <x:c r="J44" s="14"/>
    </x:row>
    <x:row r="45" ht="44" customHeight="1">
      <x:c r="A45" s="13" t="str">
        <x:v>F38</x:v>
      </x:c>
      <x:c r="B45" s="11" t="str">
        <x:v>Bóc giá</x:v>
      </x:c>
      <x:c r="C45" s="11" t="str">
        <x:v>Vật liệu phụ kiện nhân công</x:v>
      </x:c>
      <x:c r="D45" s="11" t="str">
        <x:v>P2</x:v>
      </x:c>
      <x:c r="E45" s="14" t="str">
        <x:v>Chưa chọn</x:v>
      </x:c>
      <x:c r="F45" s="11" t="str">
        <x:v>Phục vụ giá thành từ BOM</x:v>
      </x:c>
      <x:c r="G45" s="11" t="str">
        <x:v>F17 F18</x:v>
      </x:c>
      <x:c r="H45" s="11" t="str">
        <x:v>Tách lượng dùng và lượng mua</x:v>
      </x:c>
      <x:c r="I45" s="11" t="str">
        <x:v>N11 N16</x:v>
      </x:c>
      <x:c r="J45" s="14"/>
    </x:row>
    <x:row r="46" ht="44" customHeight="1">
      <x:c r="A46" s="12" t="str">
        <x:v>F39</x:v>
      </x:c>
      <x:c r="B46" s="10" t="str">
        <x:v>Mở rộng</x:v>
      </x:c>
      <x:c r="C46" s="10" t="str">
        <x:v>Tủ góc và tủ dưới mái</x:v>
      </x:c>
      <x:c r="D46" s="10" t="str">
        <x:v>P2</x:v>
      </x:c>
      <x:c r="E46" s="14" t="str">
        <x:v>Chưa chọn</x:v>
      </x:c>
      <x:c r="F46" s="10" t="str">
        <x:v>Cần bộ ràng buộc riêng</x:v>
      </x:c>
      <x:c r="G46" s="10" t="str">
        <x:v>F04 F23</x:v>
      </x:c>
      <x:c r="H46" s="10" t="str">
        <x:v>Biên dạng lắp đúng và xuất đúng</x:v>
      </x:c>
      <x:c r="I46" s="10" t="str">
        <x:v>N09</x:v>
      </x:c>
      <x:c r="J46" s="14"/>
    </x:row>
    <x:row r="47" ht="44" customHeight="1">
      <x:c r="A47" s="13" t="str">
        <x:v>F40</x:v>
      </x:c>
      <x:c r="B47" s="11" t="str">
        <x:v>Mở rộng</x:v>
      </x:c>
      <x:c r="C47" s="11" t="str">
        <x:v>Pano khung và cánh soi</x:v>
      </x:c>
      <x:c r="D47" s="11" t="str">
        <x:v>P2</x:v>
      </x:c>
      <x:c r="E47" s="14" t="str">
        <x:v>Chưa chọn</x:v>
      </x:c>
      <x:c r="F47" s="11" t="str">
        <x:v>Nâng khả năng thiết kế</x:v>
      </x:c>
      <x:c r="G47" s="11" t="str">
        <x:v>F07 F23</x:v>
      </x:c>
      <x:c r="H47" s="11" t="str">
        <x:v>Không coi render profile là đường dao</x:v>
      </x:c>
      <x:c r="I47" s="11" t="str">
        <x:v>N07 N14</x:v>
      </x:c>
      <x:c r="J47" s="14"/>
    </x:row>
    <x:row r="48" ht="44" customHeight="1">
      <x:c r="A48" s="12" t="str">
        <x:v>F41</x:v>
      </x:c>
      <x:c r="B48" s="10" t="str">
        <x:v>Mở rộng</x:v>
      </x:c>
      <x:c r="C48" s="10" t="str">
        <x:v>Tấm vẽ tay chuyển sang tấm chuẩn</x:v>
      </x:c>
      <x:c r="D48" s="10" t="str">
        <x:v>P2</x:v>
      </x:c>
      <x:c r="E48" s="14" t="str">
        <x:v>Chưa chọn</x:v>
      </x:c>
      <x:c r="F48" s="10" t="str">
        <x:v>Cho đồ đặc thù</x:v>
      </x:c>
      <x:c r="G48" s="10" t="str">
        <x:v>F01 F14 F16</x:v>
      </x:c>
      <x:c r="H48" s="10" t="str">
        <x:v>Chỉ nhận tấm có bề dày và biên hợp lệ</x:v>
      </x:c>
      <x:c r="I48" s="10" t="str">
        <x:v>N12</x:v>
      </x:c>
      <x:c r="J48" s="14"/>
    </x:row>
    <x:row r="49" ht="44" customHeight="1">
      <x:c r="A49" s="13" t="str">
        <x:v>F42</x:v>
      </x:c>
      <x:c r="B49" s="11" t="str">
        <x:v>Mở rộng</x:v>
      </x:c>
      <x:c r="C49" s="11" t="str">
        <x:v>Nhập dữ liệu phụ kiện có kiểm soát</x:v>
      </x:c>
      <x:c r="D49" s="11" t="str">
        <x:v>P2</x:v>
      </x:c>
      <x:c r="E49" s="14" t="str">
        <x:v>Chưa chọn</x:v>
      </x:c>
      <x:c r="F49" s="11" t="str">
        <x:v>Giảm nhập lại catalogue</x:v>
      </x:c>
      <x:c r="G49" s="11" t="str">
        <x:v>F18 F23</x:v>
      </x:c>
      <x:c r="H49" s="11" t="str">
        <x:v>Kiểm schema đơn vị và quyền dùng dữ liệu</x:v>
      </x:c>
      <x:c r="I49" s="11" t="str">
        <x:v>N25</x:v>
      </x:c>
      <x:c r="J49" s="14"/>
    </x:row>
    <x:row r="50" ht="44" customHeight="1">
      <x:c r="A50" s="12" t="str">
        <x:v>F43</x:v>
      </x:c>
      <x:c r="B50" s="10" t="str">
        <x:v>CNC</x:v>
      </x:c>
      <x:c r="C50" s="10" t="str">
        <x:v>Hồ sơ máy và thư viện dao</x:v>
      </x:c>
      <x:c r="D50" s="10" t="str">
        <x:v>P3</x:v>
      </x:c>
      <x:c r="E50" s="14" t="str">
        <x:v>Chưa chọn</x:v>
      </x:c>
      <x:c r="F50" s="10" t="str">
        <x:v>Máy quyết định nguyên công chạy được</x:v>
      </x:c>
      <x:c r="G50" s="10" t="str">
        <x:v>F23</x:v>
      </x:c>
      <x:c r="H50" s="10" t="str">
        <x:v>Thiếu dao hoặc vượt hành trình thì chặn</x:v>
      </x:c>
      <x:c r="I50" s="10" t="str">
        <x:v>N18 N19</x:v>
      </x:c>
      <x:c r="J50" s="14"/>
    </x:row>
    <x:row r="51" ht="44" customHeight="1">
      <x:c r="A51" s="13" t="str">
        <x:v>F44</x:v>
      </x:c>
      <x:c r="B51" s="11" t="str">
        <x:v>CNC</x:v>
      </x:c>
      <x:c r="C51" s="11" t="str">
        <x:v>Post cho một máy đầu tiên</x:v>
      </x:c>
      <x:c r="D51" s="11" t="str">
        <x:v>P3</x:v>
      </x:c>
      <x:c r="E51" s="14" t="str">
        <x:v>Chưa chọn</x:v>
      </x:c>
      <x:c r="F51" s="11" t="str">
        <x:v>Nghiệm thu từng máy cụ thể</x:v>
      </x:c>
      <x:c r="G51" s="11" t="str">
        <x:v>F30 F43</x:v>
      </x:c>
      <x:c r="H51" s="11" t="str">
        <x:v>File mẫu và phôi thử được thợ máy duyệt</x:v>
      </x:c>
      <x:c r="I51" s="11" t="str">
        <x:v>N14 N18</x:v>
      </x:c>
      <x:c r="J51" s="14"/>
    </x:row>
    <x:row r="52" ht="44" customHeight="1">
      <x:c r="A52" s="12" t="str">
        <x:v>F45</x:v>
      </x:c>
      <x:c r="B52" s="10" t="str">
        <x:v>CNC</x:v>
      </x:c>
      <x:c r="C52" s="10" t="str">
        <x:v>Lật mặt B và khoan cạnh</x:v>
      </x:c>
      <x:c r="D52" s="10" t="str">
        <x:v>P3</x:v>
      </x:c>
      <x:c r="E52" s="14" t="str">
        <x:v>Chưa chọn</x:v>
      </x:c>
      <x:c r="F52" s="10" t="str">
        <x:v>Dễ sai mốc tọa độ</x:v>
      </x:c>
      <x:c r="G52" s="10" t="str">
        <x:v>F24 F44</x:v>
      </x:c>
      <x:c r="H52" s="10" t="str">
        <x:v>Phôi bất đối xứng gia công khớp hai mặt</x:v>
      </x:c>
      <x:c r="I52" s="10" t="str">
        <x:v>N06 N14</x:v>
      </x:c>
      <x:c r="J52" s="14"/>
    </x:row>
    <x:row r="53" ht="44" customHeight="1">
      <x:c r="A53" s="13" t="str">
        <x:v>F46</x:v>
      </x:c>
      <x:c r="B53" s="11" t="str">
        <x:v>CNC</x:v>
      </x:c>
      <x:c r="C53" s="11" t="str">
        <x:v>Giữ tấm nhỏ và thứ tự cắt</x:v>
      </x:c>
      <x:c r="D53" s="11" t="str">
        <x:v>P3</x:v>
      </x:c>
      <x:c r="E53" s="14" t="str">
        <x:v>Chưa chọn</x:v>
      </x:c>
      <x:c r="F53" s="11" t="str">
        <x:v>Tránh tấm rời dịch chuyển</x:v>
      </x:c>
      <x:c r="G53" s="11" t="str">
        <x:v>F33 F43 F44</x:v>
      </x:c>
      <x:c r="H53" s="11" t="str">
        <x:v>Tấm nhỏ giữ ổn định trên bàn thực</x:v>
      </x:c>
      <x:c r="I53" s="11" t="str">
        <x:v>N14</x:v>
      </x:c>
      <x:c r="J53" s="14"/>
    </x:row>
    <x:row r="54" ht="44" customHeight="1">
      <x:c r="A54" s="12" t="str">
        <x:v>F47</x:v>
      </x:c>
      <x:c r="B54" s="10" t="str">
        <x:v>CNC</x:v>
      </x:c>
      <x:c r="C54" s="10" t="str">
        <x:v>Mô phỏng và kiểm va chạm</x:v>
      </x:c>
      <x:c r="D54" s="10" t="str">
        <x:v>P3</x:v>
      </x:c>
      <x:c r="E54" s="14" t="str">
        <x:v>Chưa chọn</x:v>
      </x:c>
      <x:c r="F54" s="10" t="str">
        <x:v>Có đồ gá dao và máy thực</x:v>
      </x:c>
      <x:c r="G54" s="10" t="str">
        <x:v>F43 F44</x:v>
      </x:c>
      <x:c r="H54" s="10" t="str">
        <x:v>Kiểm đường chạy nhanh và va đồ gá</x:v>
      </x:c>
      <x:c r="I54" s="10" t="str">
        <x:v>N17 N18</x:v>
      </x:c>
      <x:c r="J54" s="14"/>
    </x:row>
    <x:row r="55" ht="44" customHeight="1">
      <x:c r="A55" s="13" t="str">
        <x:v>F48</x:v>
      </x:c>
      <x:c r="B55" s="11" t="str">
        <x:v>Hệ thống</x:v>
      </x:c>
      <x:c r="C55" s="11" t="str">
        <x:v>Theo dõi công đoạn xưởng</x:v>
      </x:c>
      <x:c r="D55" s="11" t="str">
        <x:v>P4</x:v>
      </x:c>
      <x:c r="E55" s="14" t="str">
        <x:v>Chưa chọn</x:v>
      </x:c>
      <x:c r="F55" s="11" t="str">
        <x:v>Kết nối nhãn với sản xuất</x:v>
      </x:c>
      <x:c r="G55" s="11" t="str">
        <x:v>F28 F31</x:v>
      </x:c>
      <x:c r="H55" s="11" t="str">
        <x:v>Quét nhãn đổi trạng thái đúng tấm</x:v>
      </x:c>
      <x:c r="I55" s="11" t="str">
        <x:v>N16</x:v>
      </x:c>
      <x:c r="J55" s="14"/>
    </x:row>
    <x:row r="56" ht="44" customHeight="1">
      <x:c r="A56" s="12" t="str">
        <x:v>F49</x:v>
      </x:c>
      <x:c r="B56" s="10" t="str">
        <x:v>Hệ thống</x:v>
      </x:c>
      <x:c r="C56" s="10" t="str">
        <x:v>API nối Quantity và quản lý</x:v>
      </x:c>
      <x:c r="D56" s="10" t="str">
        <x:v>P4</x:v>
      </x:c>
      <x:c r="E56" s="14" t="str">
        <x:v>Chưa chọn</x:v>
      </x:c>
      <x:c r="F56" s="10" t="str">
        <x:v>Dùng chung nguồn dữ liệu</x:v>
      </x:c>
      <x:c r="G56" s="10" t="str">
        <x:v>F01 F15</x:v>
      </x:c>
      <x:c r="H56" s="10" t="str">
        <x:v>Không đếm lại group cha thành tấm</x:v>
      </x:c>
      <x:c r="I56" s="10" t="str">
        <x:v>N27 N16</x:v>
      </x:c>
      <x:c r="J56" s="14"/>
    </x:row>
    <x:row r="57" ht="44" customHeight="1">
      <x:c r="A57" s="13" t="str">
        <x:v>F50</x:v>
      </x:c>
      <x:c r="B57" s="11" t="str">
        <x:v>Hệ thống</x:v>
      </x:c>
      <x:c r="C57" s="11" t="str">
        <x:v>Phân quyền duyệt quy tắc xưởng</x:v>
      </x:c>
      <x:c r="D57" s="11" t="str">
        <x:v>P4</x:v>
      </x:c>
      <x:c r="E57" s="14" t="str">
        <x:v>Chưa chọn</x:v>
      </x:c>
      <x:c r="F57" s="11" t="str">
        <x:v>Tránh sửa profile sản xuất ngoài kiểm soát</x:v>
      </x:c>
      <x:c r="G57" s="11" t="str">
        <x:v>F03 F31</x:v>
      </x:c>
      <x:c r="H57" s="11" t="str">
        <x:v>Chỉ bản đã duyệt được dùng phát hành</x:v>
      </x:c>
      <x:c r="I57" s="11" t="str">
        <x:v>Đề xuất T+</x:v>
      </x:c>
      <x:c r="J57" s="14"/>
    </x:row>
    <x:row r="58" ht="44" customHeight="1">
      <x:c r="A58" s="12" t="str">
        <x:v>F51</x:v>
      </x:c>
      <x:c r="B58" s="10" t="str">
        <x:v>Hệ thống</x:v>
      </x:c>
      <x:c r="C58" s="10" t="str">
        <x:v>Chế độ hình nhẹ và dựng tăng dần</x:v>
      </x:c>
      <x:c r="D58" s="10" t="str">
        <x:v>P0</x:v>
      </x:c>
      <x:c r="E58" s="14" t="str">
        <x:v>Chưa chọn</x:v>
      </x:c>
      <x:c r="F58" s="10" t="str">
        <x:v>Giữ SketchUp đáp ứng khi nhiều tủ</x:v>
      </x:c>
      <x:c r="G58" s="10" t="str">
        <x:v>F01 F04</x:v>
      </x:c>
      <x:c r="H58" s="10" t="str">
        <x:v>Sửa một tủ không dựng lại cả dự án</x:v>
      </x:c>
      <x:c r="I58" s="10" t="str">
        <x:v>N29</x:v>
      </x:c>
      <x:c r="J58" s="14"/>
    </x:row>
    <x:row r="59" ht="44" customHeight="1">
      <x:c r="A59" s="13" t="str">
        <x:v>F52</x:v>
      </x:c>
      <x:c r="B59" s="11" t="str">
        <x:v>Hệ thống</x:v>
      </x:c>
      <x:c r="C59" s="11" t="str">
        <x:v>Undo và lỗi chọn đối tượng an toàn</x:v>
      </x:c>
      <x:c r="D59" s="11" t="str">
        <x:v>P0</x:v>
      </x:c>
      <x:c r="E59" s="14" t="str">
        <x:v>Chưa chọn</x:v>
      </x:c>
      <x:c r="F59" s="11" t="str">
        <x:v>Không stamp nhầm khi không có selection</x:v>
      </x:c>
      <x:c r="G59" s="11" t="str">
        <x:v>F04 F15</x:v>
      </x:c>
      <x:c r="H59" s="11" t="str">
        <x:v>Một Undo phục hồi cả hình và metadata</x:v>
      </x:c>
      <x:c r="I59" s="11" t="str">
        <x:v>N30</x:v>
      </x:c>
      <x:c r="J59" s="14"/>
    </x:row>
  </x:sheetData>
  <x:conditionalFormatting sqref="E8:E59">
    <x:cfRule type="containsText" dxfId="0" priority="1" operator="containsText" text="Giữ"/>
    <x:cfRule type="containsText" dxfId="1" priority="2" operator="containsText" text="Bỏ"/>
  </x:conditionalFormatting>
  <x:dataValidations count="1">
    <x:dataValidation type="list" sqref="E8:E59">
      <x:formula1>"Chưa chọn,Giữ,Để sau,Bỏ"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84e89f380b42ef"/>
  </x:tableParts>
</x:worksheet>
</file>

<file path=xl/worksheets/sheet2.xml><?xml version="1.0" encoding="utf-8"?>
<x:worksheet xmlns:x="http://schemas.openxmlformats.org/spreadsheetml/2006/main">
  <x:sheetPr>
    <x:tabColor rgb="FF52748B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34" hidden="0" customWidth="1"/>
    <x:col min="4" max="4" width="39" hidden="0" customWidth="1"/>
    <x:col min="5" max="5" width="17" hidden="0" customWidth="1"/>
    <x:col min="6" max="6" width="12" hidden="0" customWidth="1"/>
    <x:col min="7" max="7" width="27" hidden="0" customWidth="1"/>
    <x:col min="8" max="8" width="43" hidden="0" customWidth="1"/>
    <x:col min="9" max="9" width="58" hidden="0" customWidth="1"/>
    <x:col min="10" max="10" width="22" hidden="0" customWidth="1"/>
    <x:col min="11" max="11" width="13" hidden="0" customWidth="1"/>
    <x:col min="12" max="12" width="45" hidden="0" customWidth="1"/>
    <x:col min="13" max="13" width="23" hidden="0" customWidth="1"/>
    <x:col min="14" max="14" width="17" hidden="0" customWidth="1"/>
    <x:col min="15" max="15" width="28" hidden="0" customWidth="1"/>
    <x:col min="16" max="16" width="4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9" customHeight="1">
      <x:c r="A2" s="4" t="str">
        <x:v>Từ điển tham số đề xuất cho T+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Các khóa là đề xuất thiết kế T+, không phải bản trích nguyên bộ tham số ArchiWood.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 t="str">
        <x:v>Trống = chưa chốt. Thông số máy và phụ kiện phải theo profile được xưởng duyệt.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>
      <x:c r="A5" s="2" t="str">
        <x:v>Số tham số</x:v>
      </x:c>
      <x:c r="B5" s="2"/>
      <x:c r="C5" s="2"/>
      <x:c r="D5" s="2" t="n">
        <x:v>254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38" customHeight="1">
      <x:c r="A7" s="8" t="str">
        <x:v>ID</x:v>
      </x:c>
      <x:c r="B7" s="8" t="str">
        <x:v>Nhóm</x:v>
      </x:c>
      <x:c r="C7" s="8" t="str">
        <x:v>Khóa dữ liệu</x:v>
      </x:c>
      <x:c r="D7" s="8" t="str">
        <x:v>Tên tham số</x:v>
      </x:c>
      <x:c r="E7" s="8" t="str">
        <x:v>Kiểu dữ liệu</x:v>
      </x:c>
      <x:c r="F7" s="8" t="str">
        <x:v>Đơn vị</x:v>
      </x:c>
      <x:c r="G7" s="8" t="str">
        <x:v>Giá trị đề xuất</x:v>
      </x:c>
      <x:c r="H7" s="8" t="str">
        <x:v>Dải hoặc lựa chọn</x:v>
      </x:c>
      <x:c r="I7" s="8" t="str">
        <x:v>Quy tắc và ràng buộc</x:v>
      </x:c>
      <x:c r="J7" s="8" t="str">
        <x:v>Cấp áp dụng</x:v>
      </x:c>
      <x:c r="K7" s="8" t="str">
        <x:v>Giai đoạn</x:v>
      </x:c>
      <x:c r="L7" s="8" t="str">
        <x:v>Cơ sở giá trị</x:v>
      </x:c>
      <x:c r="M7" s="8" t="str">
        <x:v>Nguồn khái niệm</x:v>
      </x:c>
      <x:c r="N7" s="8" t="str">
        <x:v>Dừa chọn</x:v>
      </x:c>
      <x:c r="O7" s="8" t="str">
        <x:v>Giá trị Dừa chốt</x:v>
      </x:c>
      <x:c r="P7" s="8" t="str">
        <x:v>Ghi chú của Dừa</x:v>
      </x:c>
    </x:row>
    <x:row r="8" ht="42" customHeight="1">
      <x:c r="A8" s="12" t="str">
        <x:v>SYS-01</x:v>
      </x:c>
      <x:c r="B8" s="10" t="str">
        <x:v>Dự án và quy ước</x:v>
      </x:c>
      <x:c r="C8" s="10" t="str">
        <x:v>project_id</x:v>
      </x:c>
      <x:c r="D8" s="10" t="str">
        <x:v>Mã dự án</x:v>
      </x:c>
      <x:c r="E8" s="10" t="str">
        <x:v>Chuỗi</x:v>
      </x:c>
      <x:c r="F8" s="10" t="str"/>
      <x:c r="G8" s="15"/>
      <x:c r="H8" s="10" t="str">
        <x:v>Duy nhất</x:v>
      </x:c>
      <x:c r="I8" s="10" t="str">
        <x:v>Không dùng tên file làm khóa</x:v>
      </x:c>
      <x:c r="J8" s="10" t="str">
        <x:v>Dự án</x:v>
      </x:c>
      <x:c r="K8" s="10" t="str">
        <x:v>P0</x:v>
      </x:c>
      <x:c r="L8" s="10" t="str">
        <x:v>Đề xuất T+; nguồn tham khảo khái niệm</x:v>
      </x:c>
      <x:c r="M8" s="10" t="str">
        <x:v>N26 N27 N30</x:v>
      </x:c>
      <x:c r="N8" s="14" t="str">
        <x:v>Chưa chọn</x:v>
      </x:c>
      <x:c r="O8" s="14"/>
      <x:c r="P8" s="14"/>
    </x:row>
    <x:row r="9" ht="42" customHeight="1">
      <x:c r="A9" s="13" t="str">
        <x:v>SYS-02</x:v>
      </x:c>
      <x:c r="B9" s="11" t="str">
        <x:v>Dự án và quy ước</x:v>
      </x:c>
      <x:c r="C9" s="11" t="str">
        <x:v>room_id</x:v>
      </x:c>
      <x:c r="D9" s="11" t="str">
        <x:v>Mã phòng</x:v>
      </x:c>
      <x:c r="E9" s="11" t="str">
        <x:v>Chuỗi</x:v>
      </x:c>
      <x:c r="F9" s="11" t="str"/>
      <x:c r="G9" s="16"/>
      <x:c r="H9" s="11" t="str">
        <x:v>Theo dự án</x:v>
      </x:c>
      <x:c r="I9" s="11" t="str">
        <x:v>Gắn tủ vào phòng</x:v>
      </x:c>
      <x:c r="J9" s="11" t="str">
        <x:v>Dự án</x:v>
      </x:c>
      <x:c r="K9" s="11" t="str">
        <x:v>P0</x:v>
      </x:c>
      <x:c r="L9" s="11" t="str">
        <x:v>Đề xuất T+; nguồn tham khảo khái niệm</x:v>
      </x:c>
      <x:c r="M9" s="11" t="str">
        <x:v>N26 N27 N30</x:v>
      </x:c>
      <x:c r="N9" s="14" t="str">
        <x:v>Chưa chọn</x:v>
      </x:c>
      <x:c r="O9" s="14"/>
      <x:c r="P9" s="14"/>
    </x:row>
    <x:row r="10" ht="42" customHeight="1">
      <x:c r="A10" s="12" t="str">
        <x:v>SYS-03</x:v>
      </x:c>
      <x:c r="B10" s="10" t="str">
        <x:v>Dự án và quy ước</x:v>
      </x:c>
      <x:c r="C10" s="10" t="str">
        <x:v>shop_profile_id</x:v>
      </x:c>
      <x:c r="D10" s="10" t="str">
        <x:v>Hồ sơ xưởng</x:v>
      </x:c>
      <x:c r="E10" s="10" t="str">
        <x:v>Tham chiếu</x:v>
      </x:c>
      <x:c r="F10" s="10" t="str"/>
      <x:c r="G10" s="15"/>
      <x:c r="H10" s="10" t="str">
        <x:v>Bản đã duyệt</x:v>
      </x:c>
      <x:c r="I10" s="10" t="str">
        <x:v>Khóa phiên bản khi phát hành</x:v>
      </x:c>
      <x:c r="J10" s="10" t="str">
        <x:v>Dự án</x:v>
      </x:c>
      <x:c r="K10" s="10" t="str">
        <x:v>P0</x:v>
      </x:c>
      <x:c r="L10" s="10" t="str">
        <x:v>Đề xuất T+; nguồn tham khảo khái niệm</x:v>
      </x:c>
      <x:c r="M10" s="10" t="str">
        <x:v>N26 N27 N30</x:v>
      </x:c>
      <x:c r="N10" s="14" t="str">
        <x:v>Chưa chọn</x:v>
      </x:c>
      <x:c r="O10" s="14"/>
      <x:c r="P10" s="14"/>
    </x:row>
    <x:row r="11" ht="42" customHeight="1">
      <x:c r="A11" s="13" t="str">
        <x:v>SYS-04</x:v>
      </x:c>
      <x:c r="B11" s="11" t="str">
        <x:v>Dự án và quy ước</x:v>
      </x:c>
      <x:c r="C11" s="11" t="str">
        <x:v>unit</x:v>
      </x:c>
      <x:c r="D11" s="11" t="str">
        <x:v>Đơn vị dữ liệu</x:v>
      </x:c>
      <x:c r="E11" s="11" t="str">
        <x:v>Danh sách</x:v>
      </x:c>
      <x:c r="F11" s="11" t="str"/>
      <x:c r="G11" s="16" t="str">
        <x:v>mm</x:v>
      </x:c>
      <x:c r="H11" s="11" t="str">
        <x:v>mm</x:v>
      </x:c>
      <x:c r="I11" s="11" t="str">
        <x:v>Chuyển inch tại biên SketchUp API</x:v>
      </x:c>
      <x:c r="J11" s="11" t="str">
        <x:v>Dự án</x:v>
      </x:c>
      <x:c r="K11" s="11" t="str">
        <x:v>P0</x:v>
      </x:c>
      <x:c r="L11" s="11" t="str">
        <x:v>Đề xuất T+; nguồn tham khảo khái niệm</x:v>
      </x:c>
      <x:c r="M11" s="11" t="str">
        <x:v>N26 N27 N30</x:v>
      </x:c>
      <x:c r="N11" s="14" t="str">
        <x:v>Chưa chọn</x:v>
      </x:c>
      <x:c r="O11" s="14"/>
      <x:c r="P11" s="14"/>
    </x:row>
    <x:row r="12" ht="42" customHeight="1">
      <x:c r="A12" s="12" t="str">
        <x:v>SYS-05</x:v>
      </x:c>
      <x:c r="B12" s="10" t="str">
        <x:v>Dự án và quy ước</x:v>
      </x:c>
      <x:c r="C12" s="10" t="str">
        <x:v>schema_version</x:v>
      </x:c>
      <x:c r="D12" s="10" t="str">
        <x:v>Phiên bản dữ liệu</x:v>
      </x:c>
      <x:c r="E12" s="10" t="str">
        <x:v>Số nguyên</x:v>
      </x:c>
      <x:c r="F12" s="10" t="str"/>
      <x:c r="G12" s="15" t="n">
        <x:v>1</x:v>
      </x:c>
      <x:c r="H12" s="10" t="str">
        <x:v>Từ 1</x:v>
      </x:c>
      <x:c r="I12" s="10" t="str">
        <x:v>Có migration và bản sao trước chuyển đổi</x:v>
      </x:c>
      <x:c r="J12" s="10" t="str">
        <x:v>Dự án</x:v>
      </x:c>
      <x:c r="K12" s="10" t="str">
        <x:v>P0</x:v>
      </x:c>
      <x:c r="L12" s="10" t="str">
        <x:v>Đề xuất T+; nguồn tham khảo khái niệm</x:v>
      </x:c>
      <x:c r="M12" s="10" t="str">
        <x:v>N26 N27 N30</x:v>
      </x:c>
      <x:c r="N12" s="14" t="str">
        <x:v>Chưa chọn</x:v>
      </x:c>
      <x:c r="O12" s="14"/>
      <x:c r="P12" s="14"/>
    </x:row>
    <x:row r="13" ht="42" customHeight="1">
      <x:c r="A13" s="13" t="str">
        <x:v>SYS-06</x:v>
      </x:c>
      <x:c r="B13" s="11" t="str">
        <x:v>Dự án và quy ước</x:v>
      </x:c>
      <x:c r="C13" s="11" t="str">
        <x:v>ui_language</x:v>
      </x:c>
      <x:c r="D13" s="11" t="str">
        <x:v>Ngôn ngữ giao diện</x:v>
      </x:c>
      <x:c r="E13" s="11" t="str">
        <x:v>Danh sách</x:v>
      </x:c>
      <x:c r="F13" s="11" t="str"/>
      <x:c r="G13" s="16" t="str">
        <x:v>vi</x:v>
      </x:c>
      <x:c r="H13" s="11" t="str">
        <x:v>vi; en</x:v>
      </x:c>
      <x:c r="I13" s="11" t="str">
        <x:v>Tên tiếng Việt tách khỏi khóa máy</x:v>
      </x:c>
      <x:c r="J13" s="11" t="str">
        <x:v>Dự án</x:v>
      </x:c>
      <x:c r="K13" s="11" t="str">
        <x:v>P0</x:v>
      </x:c>
      <x:c r="L13" s="11" t="str">
        <x:v>Đề xuất T+; nguồn tham khảo khái niệm</x:v>
      </x:c>
      <x:c r="M13" s="11" t="str">
        <x:v>N26 N27 N30</x:v>
      </x:c>
      <x:c r="N13" s="14" t="str">
        <x:v>Chưa chọn</x:v>
      </x:c>
      <x:c r="O13" s="14"/>
      <x:c r="P13" s="14"/>
    </x:row>
    <x:row r="14" ht="42" customHeight="1">
      <x:c r="A14" s="12" t="str">
        <x:v>SYS-07</x:v>
      </x:c>
      <x:c r="B14" s="10" t="str">
        <x:v>Dự án và quy ước</x:v>
      </x:c>
      <x:c r="C14" s="10" t="str">
        <x:v>length_precision</x:v>
      </x:c>
      <x:c r="D14" s="10" t="str">
        <x:v>Độ chính xác hiển thị</x:v>
      </x:c>
      <x:c r="E14" s="10" t="str">
        <x:v>Số nguyên</x:v>
      </x:c>
      <x:c r="F14" s="10" t="str">
        <x:v>chữ số</x:v>
      </x:c>
      <x:c r="G14" s="15" t="n">
        <x:v>1</x:v>
      </x:c>
      <x:c r="H14" s="10" t="str">
        <x:v>0 đến 3</x:v>
      </x:c>
      <x:c r="I14" s="10" t="str">
        <x:v>Chỉ làm tròn hiển thị</x:v>
      </x:c>
      <x:c r="J14" s="10" t="str">
        <x:v>Dự án</x:v>
      </x:c>
      <x:c r="K14" s="10" t="str">
        <x:v>P0</x:v>
      </x:c>
      <x:c r="L14" s="10" t="str">
        <x:v>Đề xuất T+; nguồn tham khảo khái niệm</x:v>
      </x:c>
      <x:c r="M14" s="10" t="str">
        <x:v>N26 N27 N30</x:v>
      </x:c>
      <x:c r="N14" s="14" t="str">
        <x:v>Chưa chọn</x:v>
      </x:c>
      <x:c r="O14" s="14"/>
      <x:c r="P14" s="14"/>
    </x:row>
    <x:row r="15" ht="42" customHeight="1">
      <x:c r="A15" s="13" t="str">
        <x:v>SYS-08</x:v>
      </x:c>
      <x:c r="B15" s="11" t="str">
        <x:v>Dự án và quy ước</x:v>
      </x:c>
      <x:c r="C15" s="11" t="str">
        <x:v>geometry_tolerance</x:v>
      </x:c>
      <x:c r="D15" s="11" t="str">
        <x:v>Ngưỡng so hình học</x:v>
      </x:c>
      <x:c r="E15" s="11" t="str">
        <x:v>Số</x:v>
      </x:c>
      <x:c r="F15" s="11" t="str">
        <x:v>mm</x:v>
      </x:c>
      <x:c r="G15" s="16"/>
      <x:c r="H15" s="11" t="str">
        <x:v>Xưởng và developer chốt</x:v>
      </x:c>
      <x:c r="I15" s="11" t="str">
        <x:v>Không dùng làm dung sai lắp</x:v>
      </x:c>
      <x:c r="J15" s="11" t="str">
        <x:v>Dự án</x:v>
      </x:c>
      <x:c r="K15" s="11" t="str">
        <x:v>P0</x:v>
      </x:c>
      <x:c r="L15" s="11" t="str">
        <x:v>Đề xuất T+; nguồn tham khảo khái niệm</x:v>
      </x:c>
      <x:c r="M15" s="11" t="str">
        <x:v>N26 N27 N30</x:v>
      </x:c>
      <x:c r="N15" s="14" t="str">
        <x:v>Chưa chọn</x:v>
      </x:c>
      <x:c r="O15" s="14"/>
      <x:c r="P15" s="14"/>
    </x:row>
    <x:row r="16" ht="42" customHeight="1">
      <x:c r="A16" s="12" t="str">
        <x:v>SYS-09</x:v>
      </x:c>
      <x:c r="B16" s="10" t="str">
        <x:v>Dự án và quy ước</x:v>
      </x:c>
      <x:c r="C16" s="10" t="str">
        <x:v>construction_method_id</x:v>
      </x:c>
      <x:c r="D16" s="10" t="str">
        <x:v>Bộ quy tắc cấu tạo</x:v>
      </x:c>
      <x:c r="E16" s="10" t="str">
        <x:v>Tham chiếu</x:v>
      </x:c>
      <x:c r="F16" s="10" t="str"/>
      <x:c r="G16" s="15"/>
      <x:c r="H16" s="10" t="str">
        <x:v>Theo xưởng</x:v>
      </x:c>
      <x:c r="I16" s="10" t="str">
        <x:v>Lưu ID và revision</x:v>
      </x:c>
      <x:c r="J16" s="10" t="str">
        <x:v>Dự án</x:v>
      </x:c>
      <x:c r="K16" s="10" t="str">
        <x:v>P0</x:v>
      </x:c>
      <x:c r="L16" s="10" t="str">
        <x:v>Đề xuất T+; nguồn tham khảo khái niệm</x:v>
      </x:c>
      <x:c r="M16" s="10" t="str">
        <x:v>N26 N27 N30</x:v>
      </x:c>
      <x:c r="N16" s="14" t="str">
        <x:v>Chưa chọn</x:v>
      </x:c>
      <x:c r="O16" s="14"/>
      <x:c r="P16" s="14"/>
    </x:row>
    <x:row r="17" ht="42" customHeight="1">
      <x:c r="A17" s="13" t="str">
        <x:v>SYS-10</x:v>
      </x:c>
      <x:c r="B17" s="11" t="str">
        <x:v>Dự án và quy ước</x:v>
      </x:c>
      <x:c r="C17" s="11" t="str">
        <x:v>hardware_library_version</x:v>
      </x:c>
      <x:c r="D17" s="11" t="str">
        <x:v>Phiên bản kho phụ kiện</x:v>
      </x:c>
      <x:c r="E17" s="11" t="str">
        <x:v>Chuỗi</x:v>
      </x:c>
      <x:c r="F17" s="11" t="str"/>
      <x:c r="G17" s="16"/>
      <x:c r="H17" s="11" t="str">
        <x:v>Bắt buộc khi ra khoan</x:v>
      </x:c>
      <x:c r="I17" s="11" t="str">
        <x:v>Tránh cập nhật ngầm hồ sơ cũ</x:v>
      </x:c>
      <x:c r="J17" s="11" t="str">
        <x:v>Dự án</x:v>
      </x:c>
      <x:c r="K17" s="11" t="str">
        <x:v>P0</x:v>
      </x:c>
      <x:c r="L17" s="11" t="str">
        <x:v>Đề xuất T+; nguồn tham khảo khái niệm</x:v>
      </x:c>
      <x:c r="M17" s="11" t="str">
        <x:v>N26 N27 N30</x:v>
      </x:c>
      <x:c r="N17" s="14" t="str">
        <x:v>Chưa chọn</x:v>
      </x:c>
      <x:c r="O17" s="14"/>
      <x:c r="P17" s="14"/>
    </x:row>
    <x:row r="18" ht="42" customHeight="1">
      <x:c r="A18" s="12" t="str">
        <x:v>SYS-11</x:v>
      </x:c>
      <x:c r="B18" s="10" t="str">
        <x:v>Dự án và quy ước</x:v>
      </x:c>
      <x:c r="C18" s="10" t="str">
        <x:v>production_route</x:v>
      </x:c>
      <x:c r="D18" s="10" t="str">
        <x:v>Tuyến sản xuất</x:v>
      </x:c>
      <x:c r="E18" s="10" t="str">
        <x:v>Danh sách</x:v>
      </x:c>
      <x:c r="F18" s="10" t="str"/>
      <x:c r="G18" s="15" t="str">
        <x:v>Saw_CAM</x:v>
      </x:c>
      <x:c r="H18" s="10" t="str">
        <x:v>Saw_CAM; Nest_CNC; Outsource</x:v>
      </x:c>
      <x:c r="I18" s="10" t="str">
        <x:v>Quyết định loại đầu ra</x:v>
      </x:c>
      <x:c r="J18" s="10" t="str">
        <x:v>Dự án</x:v>
      </x:c>
      <x:c r="K18" s="10" t="str">
        <x:v>P0</x:v>
      </x:c>
      <x:c r="L18" s="10" t="str">
        <x:v>Đề xuất T+; nguồn tham khảo khái niệm</x:v>
      </x:c>
      <x:c r="M18" s="10" t="str">
        <x:v>N26 N27 N30</x:v>
      </x:c>
      <x:c r="N18" s="14" t="str">
        <x:v>Chưa chọn</x:v>
      </x:c>
      <x:c r="O18" s="14"/>
      <x:c r="P18" s="14"/>
    </x:row>
    <x:row r="19" ht="42" customHeight="1">
      <x:c r="A19" s="13" t="str">
        <x:v>SYS-12</x:v>
      </x:c>
      <x:c r="B19" s="11" t="str">
        <x:v>Dự án và quy ước</x:v>
      </x:c>
      <x:c r="C19" s="11" t="str">
        <x:v>export_scope</x:v>
      </x:c>
      <x:c r="D19" s="11" t="str">
        <x:v>Phạm vi xuất</x:v>
      </x:c>
      <x:c r="E19" s="11" t="str">
        <x:v>Danh sách</x:v>
      </x:c>
      <x:c r="F19" s="11" t="str"/>
      <x:c r="G19" s="16" t="str">
        <x:v>Selected</x:v>
      </x:c>
      <x:c r="H19" s="11" t="str">
        <x:v>Selected; Room; Project</x:v>
      </x:c>
      <x:c r="I19" s="11" t="str">
        <x:v>Phải xem trước danh sách tủ</x:v>
      </x:c>
      <x:c r="J19" s="11" t="str">
        <x:v>Dự án</x:v>
      </x:c>
      <x:c r="K19" s="11" t="str">
        <x:v>P0</x:v>
      </x:c>
      <x:c r="L19" s="11" t="str">
        <x:v>Đề xuất T+; nguồn tham khảo khái niệm</x:v>
      </x:c>
      <x:c r="M19" s="11" t="str">
        <x:v>N26 N27 N30</x:v>
      </x:c>
      <x:c r="N19" s="14" t="str">
        <x:v>Chưa chọn</x:v>
      </x:c>
      <x:c r="O19" s="14"/>
      <x:c r="P19" s="14"/>
    </x:row>
    <x:row r="20" ht="42" customHeight="1">
      <x:c r="A20" s="12" t="str">
        <x:v>MAT-01</x:v>
      </x:c>
      <x:c r="B20" s="10" t="str">
        <x:v>Vật liệu và ván thô</x:v>
      </x:c>
      <x:c r="C20" s="10" t="str">
        <x:v>material_id</x:v>
      </x:c>
      <x:c r="D20" s="10" t="str">
        <x:v>Mã vật liệu sản xuất</x:v>
      </x:c>
      <x:c r="E20" s="10" t="str">
        <x:v>Chuỗi</x:v>
      </x:c>
      <x:c r="F20" s="10" t="str"/>
      <x:c r="G20" s="15"/>
      <x:c r="H20" s="10" t="str">
        <x:v>Theo catalog xưởng</x:v>
      </x:c>
      <x:c r="I20" s="10" t="str">
        <x:v>Khác vật liệu render</x:v>
      </x:c>
      <x:c r="J20" s="10" t="str">
        <x:v>Vật liệu</x:v>
      </x:c>
      <x:c r="K20" s="10" t="str">
        <x:v>P0</x:v>
      </x:c>
      <x:c r="L20" s="10" t="str">
        <x:v>Đề xuất T+; nguồn tham khảo khái niệm</x:v>
      </x:c>
      <x:c r="M20" s="10" t="str">
        <x:v>N11 N16</x:v>
      </x:c>
      <x:c r="N20" s="14" t="str">
        <x:v>Chưa chọn</x:v>
      </x:c>
      <x:c r="O20" s="14"/>
      <x:c r="P20" s="14"/>
    </x:row>
    <x:row r="21" ht="42" customHeight="1">
      <x:c r="A21" s="13" t="str">
        <x:v>MAT-02</x:v>
      </x:c>
      <x:c r="B21" s="11" t="str">
        <x:v>Vật liệu và ván thô</x:v>
      </x:c>
      <x:c r="C21" s="11" t="str">
        <x:v>substrate</x:v>
      </x:c>
      <x:c r="D21" s="11" t="str">
        <x:v>Cốt ván</x:v>
      </x:c>
      <x:c r="E21" s="11" t="str">
        <x:v>Danh sách</x:v>
      </x:c>
      <x:c r="F21" s="11" t="str"/>
      <x:c r="G21" s="16"/>
      <x:c r="H21" s="11" t="str">
        <x:v>MDF; Plywood; Particleboard; Solid</x:v>
      </x:c>
      <x:c r="I21" s="11" t="str">
        <x:v>Lựa chọn quy trình phù hợp</x:v>
      </x:c>
      <x:c r="J21" s="11" t="str">
        <x:v>Vật liệu</x:v>
      </x:c>
      <x:c r="K21" s="11" t="str">
        <x:v>P0</x:v>
      </x:c>
      <x:c r="L21" s="11" t="str">
        <x:v>Đề xuất T+; nguồn tham khảo khái niệm</x:v>
      </x:c>
      <x:c r="M21" s="11" t="str">
        <x:v>N11 N16</x:v>
      </x:c>
      <x:c r="N21" s="14" t="str">
        <x:v>Chưa chọn</x:v>
      </x:c>
      <x:c r="O21" s="14"/>
      <x:c r="P21" s="14"/>
    </x:row>
    <x:row r="22" ht="42" customHeight="1">
      <x:c r="A22" s="12" t="str">
        <x:v>MAT-03</x:v>
      </x:c>
      <x:c r="B22" s="10" t="str">
        <x:v>Vật liệu và ván thô</x:v>
      </x:c>
      <x:c r="C22" s="10" t="str">
        <x:v>decor_code</x:v>
      </x:c>
      <x:c r="D22" s="10" t="str">
        <x:v>Mã màu bề mặt</x:v>
      </x:c>
      <x:c r="E22" s="10" t="str">
        <x:v>Chuỗi</x:v>
      </x:c>
      <x:c r="F22" s="10" t="str"/>
      <x:c r="G22" s="15"/>
      <x:c r="H22" s="10" t="str">
        <x:v>Theo hãng</x:v>
      </x:c>
      <x:c r="I22" s="10" t="str">
        <x:v>Không suy từ RGB</x:v>
      </x:c>
      <x:c r="J22" s="10" t="str">
        <x:v>Vật liệu</x:v>
      </x:c>
      <x:c r="K22" s="10" t="str">
        <x:v>P0</x:v>
      </x:c>
      <x:c r="L22" s="10" t="str">
        <x:v>Đề xuất T+; nguồn tham khảo khái niệm</x:v>
      </x:c>
      <x:c r="M22" s="10" t="str">
        <x:v>N11 N16</x:v>
      </x:c>
      <x:c r="N22" s="14" t="str">
        <x:v>Chưa chọn</x:v>
      </x:c>
      <x:c r="O22" s="14"/>
      <x:c r="P22" s="14"/>
    </x:row>
    <x:row r="23" ht="42" customHeight="1">
      <x:c r="A23" s="13" t="str">
        <x:v>MAT-04</x:v>
      </x:c>
      <x:c r="B23" s="11" t="str">
        <x:v>Vật liệu và ván thô</x:v>
      </x:c>
      <x:c r="C23" s="11" t="str">
        <x:v>thickness_nominal</x:v>
      </x:c>
      <x:c r="D23" s="11" t="str">
        <x:v>Dày danh nghĩa</x:v>
      </x:c>
      <x:c r="E23" s="11" t="str">
        <x:v>Số</x:v>
      </x:c>
      <x:c r="F23" s="11" t="str">
        <x:v>mm</x:v>
      </x:c>
      <x:c r="G23" s="16"/>
      <x:c r="H23" s="11" t="str">
        <x:v>Lớn hơn 0</x:v>
      </x:c>
      <x:c r="I23" s="11" t="str">
        <x:v>Dùng cho gọi tên vật liệu</x:v>
      </x:c>
      <x:c r="J23" s="11" t="str">
        <x:v>Vật liệu</x:v>
      </x:c>
      <x:c r="K23" s="11" t="str">
        <x:v>P0</x:v>
      </x:c>
      <x:c r="L23" s="11" t="str">
        <x:v>Đề xuất T+; nguồn tham khảo khái niệm</x:v>
      </x:c>
      <x:c r="M23" s="11" t="str">
        <x:v>N11 N16</x:v>
      </x:c>
      <x:c r="N23" s="14" t="str">
        <x:v>Chưa chọn</x:v>
      </x:c>
      <x:c r="O23" s="14"/>
      <x:c r="P23" s="14"/>
    </x:row>
    <x:row r="24" ht="42" customHeight="1">
      <x:c r="A24" s="12" t="str">
        <x:v>MAT-05</x:v>
      </x:c>
      <x:c r="B24" s="10" t="str">
        <x:v>Vật liệu và ván thô</x:v>
      </x:c>
      <x:c r="C24" s="10" t="str">
        <x:v>thickness_actual</x:v>
      </x:c>
      <x:c r="D24" s="10" t="str">
        <x:v>Dày thực tế</x:v>
      </x:c>
      <x:c r="E24" s="10" t="str">
        <x:v>Số</x:v>
      </x:c>
      <x:c r="F24" s="10" t="str">
        <x:v>mm</x:v>
      </x:c>
      <x:c r="G24" s="15"/>
      <x:c r="H24" s="10" t="str">
        <x:v>Lớn hơn 0</x:v>
      </x:c>
      <x:c r="I24" s="10" t="str">
        <x:v>Dùng tính hình học và gia công</x:v>
      </x:c>
      <x:c r="J24" s="10" t="str">
        <x:v>Vật liệu</x:v>
      </x:c>
      <x:c r="K24" s="10" t="str">
        <x:v>P0</x:v>
      </x:c>
      <x:c r="L24" s="10" t="str">
        <x:v>Đề xuất T+; nguồn tham khảo khái niệm</x:v>
      </x:c>
      <x:c r="M24" s="10" t="str">
        <x:v>N11 N16</x:v>
      </x:c>
      <x:c r="N24" s="14" t="str">
        <x:v>Chưa chọn</x:v>
      </x:c>
      <x:c r="O24" s="14"/>
      <x:c r="P24" s="14"/>
    </x:row>
    <x:row r="25" ht="42" customHeight="1">
      <x:c r="A25" s="13" t="str">
        <x:v>MAT-06</x:v>
      </x:c>
      <x:c r="B25" s="11" t="str">
        <x:v>Vật liệu và ván thô</x:v>
      </x:c>
      <x:c r="C25" s="11" t="str">
        <x:v>thickness_tolerance</x:v>
      </x:c>
      <x:c r="D25" s="11" t="str">
        <x:v>Dung sai dày</x:v>
      </x:c>
      <x:c r="E25" s="11" t="str">
        <x:v>Số</x:v>
      </x:c>
      <x:c r="F25" s="11" t="str">
        <x:v>mm</x:v>
      </x:c>
      <x:c r="G25" s="16"/>
      <x:c r="H25" s="11" t="str">
        <x:v>Không âm</x:v>
      </x:c>
      <x:c r="I25" s="11" t="str">
        <x:v>Theo đo lô và yêu cầu xưởng</x:v>
      </x:c>
      <x:c r="J25" s="11" t="str">
        <x:v>Vật liệu</x:v>
      </x:c>
      <x:c r="K25" s="11" t="str">
        <x:v>P0</x:v>
      </x:c>
      <x:c r="L25" s="11" t="str">
        <x:v>Đề xuất T+; nguồn tham khảo khái niệm</x:v>
      </x:c>
      <x:c r="M25" s="11" t="str">
        <x:v>N11 N16</x:v>
      </x:c>
      <x:c r="N25" s="14" t="str">
        <x:v>Chưa chọn</x:v>
      </x:c>
      <x:c r="O25" s="14"/>
      <x:c r="P25" s="14"/>
    </x:row>
    <x:row r="26" ht="42" customHeight="1">
      <x:c r="A26" s="12" t="str">
        <x:v>MAT-07</x:v>
      </x:c>
      <x:c r="B26" s="10" t="str">
        <x:v>Vật liệu và ván thô</x:v>
      </x:c>
      <x:c r="C26" s="10" t="str">
        <x:v>stock_length</x:v>
      </x:c>
      <x:c r="D26" s="10" t="str">
        <x:v>Chiều dài ván thô</x:v>
      </x:c>
      <x:c r="E26" s="10" t="str">
        <x:v>Số</x:v>
      </x:c>
      <x:c r="F26" s="10" t="str">
        <x:v>mm</x:v>
      </x:c>
      <x:c r="G26" s="15"/>
      <x:c r="H26" s="10" t="str">
        <x:v>Lớn hơn 0</x:v>
      </x:c>
      <x:c r="I26" s="10" t="str">
        <x:v>Lấy khổ mua thực tế</x:v>
      </x:c>
      <x:c r="J26" s="10" t="str">
        <x:v>Vật liệu</x:v>
      </x:c>
      <x:c r="K26" s="10" t="str">
        <x:v>P0</x:v>
      </x:c>
      <x:c r="L26" s="10" t="str">
        <x:v>Đề xuất T+; nguồn tham khảo khái niệm</x:v>
      </x:c>
      <x:c r="M26" s="10" t="str">
        <x:v>N11 N16</x:v>
      </x:c>
      <x:c r="N26" s="14" t="str">
        <x:v>Chưa chọn</x:v>
      </x:c>
      <x:c r="O26" s="14"/>
      <x:c r="P26" s="14"/>
    </x:row>
    <x:row r="27" ht="42" customHeight="1">
      <x:c r="A27" s="13" t="str">
        <x:v>MAT-08</x:v>
      </x:c>
      <x:c r="B27" s="11" t="str">
        <x:v>Vật liệu và ván thô</x:v>
      </x:c>
      <x:c r="C27" s="11" t="str">
        <x:v>stock_width</x:v>
      </x:c>
      <x:c r="D27" s="11" t="str">
        <x:v>Chiều rộng ván thô</x:v>
      </x:c>
      <x:c r="E27" s="11" t="str">
        <x:v>Số</x:v>
      </x:c>
      <x:c r="F27" s="11" t="str">
        <x:v>mm</x:v>
      </x:c>
      <x:c r="G27" s="16"/>
      <x:c r="H27" s="11" t="str">
        <x:v>Lớn hơn 0</x:v>
      </x:c>
      <x:c r="I27" s="11" t="str">
        <x:v>Không mặc định mọi ván 1220 x 2440</x:v>
      </x:c>
      <x:c r="J27" s="11" t="str">
        <x:v>Vật liệu</x:v>
      </x:c>
      <x:c r="K27" s="11" t="str">
        <x:v>P0</x:v>
      </x:c>
      <x:c r="L27" s="11" t="str">
        <x:v>Đề xuất T+; nguồn tham khảo khái niệm</x:v>
      </x:c>
      <x:c r="M27" s="11" t="str">
        <x:v>N11 N16</x:v>
      </x:c>
      <x:c r="N27" s="14" t="str">
        <x:v>Chưa chọn</x:v>
      </x:c>
      <x:c r="O27" s="14"/>
      <x:c r="P27" s="14"/>
    </x:row>
    <x:row r="28" ht="42" customHeight="1">
      <x:c r="A28" s="12" t="str">
        <x:v>MAT-09</x:v>
      </x:c>
      <x:c r="B28" s="10" t="str">
        <x:v>Vật liệu và ván thô</x:v>
      </x:c>
      <x:c r="C28" s="10" t="str">
        <x:v>grain_axis</x:v>
      </x:c>
      <x:c r="D28" s="10" t="str">
        <x:v>Hướng vân</x:v>
      </x:c>
      <x:c r="E28" s="10" t="str">
        <x:v>Danh sách</x:v>
      </x:c>
      <x:c r="F28" s="10" t="str"/>
      <x:c r="G28" s="15"/>
      <x:c r="H28" s="10" t="str">
        <x:v>None; U; V</x:v>
      </x:c>
      <x:c r="I28" s="10" t="str">
        <x:v>Khóa hướng xoay khi nesting</x:v>
      </x:c>
      <x:c r="J28" s="10" t="str">
        <x:v>Vật liệu</x:v>
      </x:c>
      <x:c r="K28" s="10" t="str">
        <x:v>P0</x:v>
      </x:c>
      <x:c r="L28" s="10" t="str">
        <x:v>Đề xuất T+; nguồn tham khảo khái niệm</x:v>
      </x:c>
      <x:c r="M28" s="10" t="str">
        <x:v>N11 N16</x:v>
      </x:c>
      <x:c r="N28" s="14" t="str">
        <x:v>Chưa chọn</x:v>
      </x:c>
      <x:c r="O28" s="14"/>
      <x:c r="P28" s="14"/>
    </x:row>
    <x:row r="29" ht="42" customHeight="1">
      <x:c r="A29" s="13" t="str">
        <x:v>MAT-10</x:v>
      </x:c>
      <x:c r="B29" s="11" t="str">
        <x:v>Vật liệu và ván thô</x:v>
      </x:c>
      <x:c r="C29" s="11" t="str">
        <x:v>face_a_decor</x:v>
      </x:c>
      <x:c r="D29" s="11" t="str">
        <x:v>Bề mặt A</x:v>
      </x:c>
      <x:c r="E29" s="11" t="str">
        <x:v>Chuỗi</x:v>
      </x:c>
      <x:c r="F29" s="11" t="str"/>
      <x:c r="G29" s="16"/>
      <x:c r="H29" s="11" t="str">
        <x:v>Theo catalog</x:v>
      </x:c>
      <x:c r="I29" s="11" t="str">
        <x:v>Giữ mặt đẹp qua các phép lật</x:v>
      </x:c>
      <x:c r="J29" s="11" t="str">
        <x:v>Vật liệu</x:v>
      </x:c>
      <x:c r="K29" s="11" t="str">
        <x:v>P0</x:v>
      </x:c>
      <x:c r="L29" s="11" t="str">
        <x:v>Đề xuất T+; nguồn tham khảo khái niệm</x:v>
      </x:c>
      <x:c r="M29" s="11" t="str">
        <x:v>N11 N16</x:v>
      </x:c>
      <x:c r="N29" s="14" t="str">
        <x:v>Chưa chọn</x:v>
      </x:c>
      <x:c r="O29" s="14"/>
      <x:c r="P29" s="14"/>
    </x:row>
    <x:row r="30" ht="42" customHeight="1">
      <x:c r="A30" s="12" t="str">
        <x:v>MAT-11</x:v>
      </x:c>
      <x:c r="B30" s="10" t="str">
        <x:v>Vật liệu và ván thô</x:v>
      </x:c>
      <x:c r="C30" s="10" t="str">
        <x:v>face_b_decor</x:v>
      </x:c>
      <x:c r="D30" s="10" t="str">
        <x:v>Bề mặt B</x:v>
      </x:c>
      <x:c r="E30" s="10" t="str">
        <x:v>Chuỗi</x:v>
      </x:c>
      <x:c r="F30" s="10" t="str"/>
      <x:c r="G30" s="15"/>
      <x:c r="H30" s="10" t="str">
        <x:v>Theo catalog</x:v>
      </x:c>
      <x:c r="I30" s="10" t="str">
        <x:v>Cho phép A khác B</x:v>
      </x:c>
      <x:c r="J30" s="10" t="str">
        <x:v>Vật liệu</x:v>
      </x:c>
      <x:c r="K30" s="10" t="str">
        <x:v>P0</x:v>
      </x:c>
      <x:c r="L30" s="10" t="str">
        <x:v>Đề xuất T+; nguồn tham khảo khái niệm</x:v>
      </x:c>
      <x:c r="M30" s="10" t="str">
        <x:v>N11 N16</x:v>
      </x:c>
      <x:c r="N30" s="14" t="str">
        <x:v>Chưa chọn</x:v>
      </x:c>
      <x:c r="O30" s="14"/>
      <x:c r="P30" s="14"/>
    </x:row>
    <x:row r="31" ht="42" customHeight="1">
      <x:c r="A31" s="13" t="str">
        <x:v>MAT-12</x:v>
      </x:c>
      <x:c r="B31" s="11" t="str">
        <x:v>Vật liệu và ván thô</x:v>
      </x:c>
      <x:c r="C31" s="11" t="str">
        <x:v>stock_quantity</x:v>
      </x:c>
      <x:c r="D31" s="11" t="str">
        <x:v>Số tấm tồn</x:v>
      </x:c>
      <x:c r="E31" s="11" t="str">
        <x:v>Số nguyên</x:v>
      </x:c>
      <x:c r="F31" s="11" t="str">
        <x:v>tấm</x:v>
      </x:c>
      <x:c r="G31" s="16"/>
      <x:c r="H31" s="11" t="str">
        <x:v>Không âm</x:v>
      </x:c>
      <x:c r="I31" s="11" t="str">
        <x:v>Trống là chưa biết không phải vô hạn</x:v>
      </x:c>
      <x:c r="J31" s="11" t="str">
        <x:v>Vật liệu</x:v>
      </x:c>
      <x:c r="K31" s="11" t="str">
        <x:v>P0</x:v>
      </x:c>
      <x:c r="L31" s="11" t="str">
        <x:v>Đề xuất T+; nguồn tham khảo khái niệm</x:v>
      </x:c>
      <x:c r="M31" s="11" t="str">
        <x:v>N11 N16</x:v>
      </x:c>
      <x:c r="N31" s="14" t="str">
        <x:v>Chưa chọn</x:v>
      </x:c>
      <x:c r="O31" s="14"/>
      <x:c r="P31" s="14"/>
    </x:row>
    <x:row r="32" ht="42" customHeight="1">
      <x:c r="A32" s="12" t="str">
        <x:v>MAT-13</x:v>
      </x:c>
      <x:c r="B32" s="10" t="str">
        <x:v>Vật liệu và ván thô</x:v>
      </x:c>
      <x:c r="C32" s="10" t="str">
        <x:v>batch_id</x:v>
      </x:c>
      <x:c r="D32" s="10" t="str">
        <x:v>Mã lô màu</x:v>
      </x:c>
      <x:c r="E32" s="10" t="str">
        <x:v>Chuỗi</x:v>
      </x:c>
      <x:c r="F32" s="10" t="str"/>
      <x:c r="G32" s="15"/>
      <x:c r="H32" s="10" t="str">
        <x:v>Theo lô</x:v>
      </x:c>
      <x:c r="I32" s="10" t="str">
        <x:v>Giữ cùng lô cho cánh liền vân</x:v>
      </x:c>
      <x:c r="J32" s="10" t="str">
        <x:v>Vật liệu</x:v>
      </x:c>
      <x:c r="K32" s="10" t="str">
        <x:v>P0</x:v>
      </x:c>
      <x:c r="L32" s="10" t="str">
        <x:v>Đề xuất T+; nguồn tham khảo khái niệm</x:v>
      </x:c>
      <x:c r="M32" s="10" t="str">
        <x:v>N11 N16</x:v>
      </x:c>
      <x:c r="N32" s="14" t="str">
        <x:v>Chưa chọn</x:v>
      </x:c>
      <x:c r="O32" s="14"/>
      <x:c r="P32" s="14"/>
    </x:row>
    <x:row r="33" ht="42" customHeight="1">
      <x:c r="A33" s="13" t="str">
        <x:v>MAT-14</x:v>
      </x:c>
      <x:c r="B33" s="11" t="str">
        <x:v>Vật liệu và ván thô</x:v>
      </x:c>
      <x:c r="C33" s="11" t="str">
        <x:v>density</x:v>
      </x:c>
      <x:c r="D33" s="11" t="str">
        <x:v>Khối lượng riêng</x:v>
      </x:c>
      <x:c r="E33" s="11" t="str">
        <x:v>Số</x:v>
      </x:c>
      <x:c r="F33" s="11" t="str">
        <x:v>kg/m3</x:v>
      </x:c>
      <x:c r="G33" s="16"/>
      <x:c r="H33" s="11" t="str">
        <x:v>Lớn hơn 0</x:v>
      </x:c>
      <x:c r="I33" s="11" t="str">
        <x:v>Phục vụ tính khối lượng sơ bộ</x:v>
      </x:c>
      <x:c r="J33" s="11" t="str">
        <x:v>Vật liệu</x:v>
      </x:c>
      <x:c r="K33" s="11" t="str">
        <x:v>P0</x:v>
      </x:c>
      <x:c r="L33" s="11" t="str">
        <x:v>Đề xuất T+; nguồn tham khảo khái niệm</x:v>
      </x:c>
      <x:c r="M33" s="11" t="str">
        <x:v>N11 N16</x:v>
      </x:c>
      <x:c r="N33" s="14" t="str">
        <x:v>Chưa chọn</x:v>
      </x:c>
      <x:c r="O33" s="14"/>
      <x:c r="P33" s="14"/>
    </x:row>
    <x:row r="34" ht="42" customHeight="1">
      <x:c r="A34" s="12" t="str">
        <x:v>MAT-15</x:v>
      </x:c>
      <x:c r="B34" s="10" t="str">
        <x:v>Vật liệu và ván thô</x:v>
      </x:c>
      <x:c r="C34" s="10" t="str">
        <x:v>oversize_u</x:v>
      </x:c>
      <x:c r="D34" s="10" t="str">
        <x:v>Dư phôi theo U</x:v>
      </x:c>
      <x:c r="E34" s="10" t="str">
        <x:v>Số</x:v>
      </x:c>
      <x:c r="F34" s="10" t="str">
        <x:v>mm</x:v>
      </x:c>
      <x:c r="G34" s="15" t="n">
        <x:v>0</x:v>
      </x:c>
      <x:c r="H34" s="10" t="str">
        <x:v>Không âm</x:v>
      </x:c>
      <x:c r="I34" s="10" t="str">
        <x:v>Tách khỏi chiều dày nẹp</x:v>
      </x:c>
      <x:c r="J34" s="10" t="str">
        <x:v>Vật liệu</x:v>
      </x:c>
      <x:c r="K34" s="10" t="str">
        <x:v>P0</x:v>
      </x:c>
      <x:c r="L34" s="10" t="str">
        <x:v>Đề xuất T+; nguồn tham khảo khái niệm</x:v>
      </x:c>
      <x:c r="M34" s="10" t="str">
        <x:v>N11 N16</x:v>
      </x:c>
      <x:c r="N34" s="14" t="str">
        <x:v>Chưa chọn</x:v>
      </x:c>
      <x:c r="O34" s="14"/>
      <x:c r="P34" s="14"/>
    </x:row>
    <x:row r="35" ht="42" customHeight="1">
      <x:c r="A35" s="13" t="str">
        <x:v>MAT-16</x:v>
      </x:c>
      <x:c r="B35" s="11" t="str">
        <x:v>Vật liệu và ván thô</x:v>
      </x:c>
      <x:c r="C35" s="11" t="str">
        <x:v>oversize_v</x:v>
      </x:c>
      <x:c r="D35" s="11" t="str">
        <x:v>Dư phôi theo V</x:v>
      </x:c>
      <x:c r="E35" s="11" t="str">
        <x:v>Số</x:v>
      </x:c>
      <x:c r="F35" s="11" t="str">
        <x:v>mm</x:v>
      </x:c>
      <x:c r="G35" s="16" t="n">
        <x:v>0</x:v>
      </x:c>
      <x:c r="H35" s="11" t="str">
        <x:v>Không âm</x:v>
      </x:c>
      <x:c r="I35" s="11" t="str">
        <x:v>Dùng trước bước gia công tinh</x:v>
      </x:c>
      <x:c r="J35" s="11" t="str">
        <x:v>Vật liệu</x:v>
      </x:c>
      <x:c r="K35" s="11" t="str">
        <x:v>P0</x:v>
      </x:c>
      <x:c r="L35" s="11" t="str">
        <x:v>Đề xuất T+; nguồn tham khảo khái niệm</x:v>
      </x:c>
      <x:c r="M35" s="11" t="str">
        <x:v>N11 N16</x:v>
      </x:c>
      <x:c r="N35" s="14" t="str">
        <x:v>Chưa chọn</x:v>
      </x:c>
      <x:c r="O35" s="14"/>
      <x:c r="P35" s="14"/>
    </x:row>
    <x:row r="36" ht="42" customHeight="1">
      <x:c r="A36" s="12" t="str">
        <x:v>EDGE-01</x:v>
      </x:c>
      <x:c r="B36" s="10" t="str">
        <x:v>Cạnh và kích thước phôi</x:v>
      </x:c>
      <x:c r="C36" s="10" t="str">
        <x:v>edge_u_min</x:v>
      </x:c>
      <x:c r="D36" s="10" t="str">
        <x:v>Nẹp cạnh U nhỏ</x:v>
      </x:c>
      <x:c r="E36" s="10" t="str">
        <x:v>Tham chiếu</x:v>
      </x:c>
      <x:c r="F36" s="10" t="str"/>
      <x:c r="G36" s="15"/>
      <x:c r="H36" s="10" t="str">
        <x:v>Không nẹp hoặc mã nẹp</x:v>
      </x:c>
      <x:c r="I36" s="10" t="str">
        <x:v>Bốn cạnh gắn theo hệ local</x:v>
      </x:c>
      <x:c r="J36" s="10" t="str">
        <x:v>Tấm và cạnh</x:v>
      </x:c>
      <x:c r="K36" s="10" t="str">
        <x:v>P0</x:v>
      </x:c>
      <x:c r="L36" s="10" t="str">
        <x:v>Đề xuất T+; nguồn tham khảo khái niệm</x:v>
      </x:c>
      <x:c r="M36" s="10" t="str">
        <x:v>N11 N06</x:v>
      </x:c>
      <x:c r="N36" s="14" t="str">
        <x:v>Chưa chọn</x:v>
      </x:c>
      <x:c r="O36" s="14"/>
      <x:c r="P36" s="14"/>
    </x:row>
    <x:row r="37" ht="42" customHeight="1">
      <x:c r="A37" s="13" t="str">
        <x:v>EDGE-02</x:v>
      </x:c>
      <x:c r="B37" s="11" t="str">
        <x:v>Cạnh và kích thước phôi</x:v>
      </x:c>
      <x:c r="C37" s="11" t="str">
        <x:v>edge_u_max</x:v>
      </x:c>
      <x:c r="D37" s="11" t="str">
        <x:v>Nẹp cạnh U lớn</x:v>
      </x:c>
      <x:c r="E37" s="11" t="str">
        <x:v>Tham chiếu</x:v>
      </x:c>
      <x:c r="F37" s="11" t="str"/>
      <x:c r="G37" s="16"/>
      <x:c r="H37" s="11" t="str">
        <x:v>Không nẹp hoặc mã nẹp</x:v>
      </x:c>
      <x:c r="I37" s="11" t="str">
        <x:v>Không đổi sai khi mirror</x:v>
      </x:c>
      <x:c r="J37" s="11" t="str">
        <x:v>Tấm và cạnh</x:v>
      </x:c>
      <x:c r="K37" s="11" t="str">
        <x:v>P0</x:v>
      </x:c>
      <x:c r="L37" s="11" t="str">
        <x:v>Đề xuất T+; nguồn tham khảo khái niệm</x:v>
      </x:c>
      <x:c r="M37" s="11" t="str">
        <x:v>N11 N06</x:v>
      </x:c>
      <x:c r="N37" s="14" t="str">
        <x:v>Chưa chọn</x:v>
      </x:c>
      <x:c r="O37" s="14"/>
      <x:c r="P37" s="14"/>
    </x:row>
    <x:row r="38" ht="42" customHeight="1">
      <x:c r="A38" s="12" t="str">
        <x:v>EDGE-03</x:v>
      </x:c>
      <x:c r="B38" s="10" t="str">
        <x:v>Cạnh và kích thước phôi</x:v>
      </x:c>
      <x:c r="C38" s="10" t="str">
        <x:v>edge_v_min</x:v>
      </x:c>
      <x:c r="D38" s="10" t="str">
        <x:v>Nẹp cạnh V nhỏ</x:v>
      </x:c>
      <x:c r="E38" s="10" t="str">
        <x:v>Tham chiếu</x:v>
      </x:c>
      <x:c r="F38" s="10" t="str"/>
      <x:c r="G38" s="15"/>
      <x:c r="H38" s="10" t="str">
        <x:v>Không nẹp hoặc mã nẹp</x:v>
      </x:c>
      <x:c r="I38" s="10" t="str">
        <x:v>Tách quy ước trái phải màn hình</x:v>
      </x:c>
      <x:c r="J38" s="10" t="str">
        <x:v>Tấm và cạnh</x:v>
      </x:c>
      <x:c r="K38" s="10" t="str">
        <x:v>P0</x:v>
      </x:c>
      <x:c r="L38" s="10" t="str">
        <x:v>Đề xuất T+; nguồn tham khảo khái niệm</x:v>
      </x:c>
      <x:c r="M38" s="10" t="str">
        <x:v>N11 N06</x:v>
      </x:c>
      <x:c r="N38" s="14" t="str">
        <x:v>Chưa chọn</x:v>
      </x:c>
      <x:c r="O38" s="14"/>
      <x:c r="P38" s="14"/>
    </x:row>
    <x:row r="39" ht="42" customHeight="1">
      <x:c r="A39" s="13" t="str">
        <x:v>EDGE-04</x:v>
      </x:c>
      <x:c r="B39" s="11" t="str">
        <x:v>Cạnh và kích thước phôi</x:v>
      </x:c>
      <x:c r="C39" s="11" t="str">
        <x:v>edge_v_max</x:v>
      </x:c>
      <x:c r="D39" s="11" t="str">
        <x:v>Nẹp cạnh V lớn</x:v>
      </x:c>
      <x:c r="E39" s="11" t="str">
        <x:v>Tham chiếu</x:v>
      </x:c>
      <x:c r="F39" s="11" t="str"/>
      <x:c r="G39" s="16"/>
      <x:c r="H39" s="11" t="str">
        <x:v>Không nẹp hoặc mã nẹp</x:v>
      </x:c>
      <x:c r="I39" s="11" t="str">
        <x:v>Nhãn phải có sơ đồ cạnh</x:v>
      </x:c>
      <x:c r="J39" s="11" t="str">
        <x:v>Tấm và cạnh</x:v>
      </x:c>
      <x:c r="K39" s="11" t="str">
        <x:v>P0</x:v>
      </x:c>
      <x:c r="L39" s="11" t="str">
        <x:v>Đề xuất T+; nguồn tham khảo khái niệm</x:v>
      </x:c>
      <x:c r="M39" s="11" t="str">
        <x:v>N11 N06</x:v>
      </x:c>
      <x:c r="N39" s="14" t="str">
        <x:v>Chưa chọn</x:v>
      </x:c>
      <x:c r="O39" s="14"/>
      <x:c r="P39" s="14"/>
    </x:row>
    <x:row r="40" ht="42" customHeight="1">
      <x:c r="A40" s="12" t="str">
        <x:v>EDGE-05</x:v>
      </x:c>
      <x:c r="B40" s="10" t="str">
        <x:v>Cạnh và kích thước phôi</x:v>
      </x:c>
      <x:c r="C40" s="10" t="str">
        <x:v>edge_finished_thickness</x:v>
      </x:c>
      <x:c r="D40" s="10" t="str">
        <x:v>Dày nẹp sau hoàn thiện</x:v>
      </x:c>
      <x:c r="E40" s="10" t="str">
        <x:v>Số</x:v>
      </x:c>
      <x:c r="F40" s="10" t="str">
        <x:v>mm</x:v>
      </x:c>
      <x:c r="G40" s="15"/>
      <x:c r="H40" s="10" t="str">
        <x:v>Không âm</x:v>
      </x:c>
      <x:c r="I40" s="10" t="str">
        <x:v>Theo mã nẹp và kết quả ép dán</x:v>
      </x:c>
      <x:c r="J40" s="10" t="str">
        <x:v>Tấm và cạnh</x:v>
      </x:c>
      <x:c r="K40" s="10" t="str">
        <x:v>P0</x:v>
      </x:c>
      <x:c r="L40" s="10" t="str">
        <x:v>Đề xuất T+; nguồn tham khảo khái niệm</x:v>
      </x:c>
      <x:c r="M40" s="10" t="str">
        <x:v>N11 N06</x:v>
      </x:c>
      <x:c r="N40" s="14" t="str">
        <x:v>Chưa chọn</x:v>
      </x:c>
      <x:c r="O40" s="14"/>
      <x:c r="P40" s="14"/>
    </x:row>
    <x:row r="41" ht="42" customHeight="1">
      <x:c r="A41" s="13" t="str">
        <x:v>EDGE-06</x:v>
      </x:c>
      <x:c r="B41" s="11" t="str">
        <x:v>Cạnh và kích thước phôi</x:v>
      </x:c>
      <x:c r="C41" s="11" t="str">
        <x:v>edge_width</x:v>
      </x:c>
      <x:c r="D41" s="11" t="str">
        <x:v>Rộng cuộn nẹp</x:v>
      </x:c>
      <x:c r="E41" s="11" t="str">
        <x:v>Số</x:v>
      </x:c>
      <x:c r="F41" s="11" t="str">
        <x:v>mm</x:v>
      </x:c>
      <x:c r="G41" s="16"/>
      <x:c r="H41" s="11" t="str">
        <x:v>Theo profile</x:v>
      </x:c>
      <x:c r="I41" s="11" t="str">
        <x:v>Phải đủ phủ dày ván và dư xén</x:v>
      </x:c>
      <x:c r="J41" s="11" t="str">
        <x:v>Tấm và cạnh</x:v>
      </x:c>
      <x:c r="K41" s="11" t="str">
        <x:v>P0</x:v>
      </x:c>
      <x:c r="L41" s="11" t="str">
        <x:v>Đề xuất T+; nguồn tham khảo khái niệm</x:v>
      </x:c>
      <x:c r="M41" s="11" t="str">
        <x:v>N11 N06</x:v>
      </x:c>
      <x:c r="N41" s="14" t="str">
        <x:v>Chưa chọn</x:v>
      </x:c>
      <x:c r="O41" s="14"/>
      <x:c r="P41" s="14"/>
    </x:row>
    <x:row r="42" ht="42" customHeight="1">
      <x:c r="A42" s="12" t="str">
        <x:v>EDGE-07</x:v>
      </x:c>
      <x:c r="B42" s="10" t="str">
        <x:v>Cạnh và kích thước phôi</x:v>
      </x:c>
      <x:c r="C42" s="10" t="str">
        <x:v>edge_reduction_mode</x:v>
      </x:c>
      <x:c r="D42" s="10" t="str">
        <x:v>Cách trừ nẹp</x:v>
      </x:c>
      <x:c r="E42" s="10" t="str">
        <x:v>Danh sách</x:v>
      </x:c>
      <x:c r="F42" s="10" t="str"/>
      <x:c r="G42" s="15" t="str">
        <x:v>Finished_controls</x:v>
      </x:c>
      <x:c r="H42" s="10" t="str">
        <x:v>Finished_controls; Core_controls</x:v>
      </x:c>
      <x:c r="I42" s="10" t="str">
        <x:v>Không trừ hai lần</x:v>
      </x:c>
      <x:c r="J42" s="10" t="str">
        <x:v>Tấm và cạnh</x:v>
      </x:c>
      <x:c r="K42" s="10" t="str">
        <x:v>P0</x:v>
      </x:c>
      <x:c r="L42" s="10" t="str">
        <x:v>Đề xuất T+; nguồn tham khảo khái niệm</x:v>
      </x:c>
      <x:c r="M42" s="10" t="str">
        <x:v>N11 N06</x:v>
      </x:c>
      <x:c r="N42" s="14" t="str">
        <x:v>Chưa chọn</x:v>
      </x:c>
      <x:c r="O42" s="14"/>
      <x:c r="P42" s="14"/>
    </x:row>
    <x:row r="43" ht="42" customHeight="1">
      <x:c r="A43" s="13" t="str">
        <x:v>EDGE-08</x:v>
      </x:c>
      <x:c r="B43" s="11" t="str">
        <x:v>Cạnh và kích thước phôi</x:v>
      </x:c>
      <x:c r="C43" s="11" t="str">
        <x:v>premill_allowance</x:v>
      </x:c>
      <x:c r="D43" s="11" t="str">
        <x:v>Lượng phay cạnh trước dán</x:v>
      </x:c>
      <x:c r="E43" s="11" t="str">
        <x:v>Số</x:v>
      </x:c>
      <x:c r="F43" s="11" t="str">
        <x:v>mm</x:v>
      </x:c>
      <x:c r="G43" s="16"/>
      <x:c r="H43" s="11" t="str">
        <x:v>Theo quy trình</x:v>
      </x:c>
      <x:c r="I43" s="11" t="str">
        <x:v>Tính vào phôi ở đúng công đoạn</x:v>
      </x:c>
      <x:c r="J43" s="11" t="str">
        <x:v>Tấm và cạnh</x:v>
      </x:c>
      <x:c r="K43" s="11" t="str">
        <x:v>P0</x:v>
      </x:c>
      <x:c r="L43" s="11" t="str">
        <x:v>Đề xuất T+; nguồn tham khảo khái niệm</x:v>
      </x:c>
      <x:c r="M43" s="11" t="str">
        <x:v>N11 N06</x:v>
      </x:c>
      <x:c r="N43" s="14" t="str">
        <x:v>Chưa chọn</x:v>
      </x:c>
      <x:c r="O43" s="14"/>
      <x:c r="P43" s="14"/>
    </x:row>
    <x:row r="44" ht="42" customHeight="1">
      <x:c r="A44" s="12" t="str">
        <x:v>EDGE-09</x:v>
      </x:c>
      <x:c r="B44" s="10" t="str">
        <x:v>Cạnh và kích thước phôi</x:v>
      </x:c>
      <x:c r="C44" s="10" t="str">
        <x:v>edge_sequence</x:v>
      </x:c>
      <x:c r="D44" s="10" t="str">
        <x:v>Thứ tự dán cạnh</x:v>
      </x:c>
      <x:c r="E44" s="10" t="str">
        <x:v>Danh sách</x:v>
      </x:c>
      <x:c r="F44" s="10" t="str"/>
      <x:c r="G44" s="15"/>
      <x:c r="H44" s="10" t="str">
        <x:v>Theo xưởng</x:v>
      </x:c>
      <x:c r="I44" s="10" t="str">
        <x:v>Ảnh hưởng đầu nẹp và hướng chuẩn</x:v>
      </x:c>
      <x:c r="J44" s="10" t="str">
        <x:v>Tấm và cạnh</x:v>
      </x:c>
      <x:c r="K44" s="10" t="str">
        <x:v>P0</x:v>
      </x:c>
      <x:c r="L44" s="10" t="str">
        <x:v>Đề xuất T+; nguồn tham khảo khái niệm</x:v>
      </x:c>
      <x:c r="M44" s="10" t="str">
        <x:v>N11 N06</x:v>
      </x:c>
      <x:c r="N44" s="14" t="str">
        <x:v>Chưa chọn</x:v>
      </x:c>
      <x:c r="O44" s="14"/>
      <x:c r="P44" s="14"/>
    </x:row>
    <x:row r="45" ht="42" customHeight="1">
      <x:c r="A45" s="13" t="str">
        <x:v>EDGE-10</x:v>
      </x:c>
      <x:c r="B45" s="11" t="str">
        <x:v>Cạnh và kích thước phôi</x:v>
      </x:c>
      <x:c r="C45" s="11" t="str">
        <x:v>edge_end_allowance</x:v>
      </x:c>
      <x:c r="D45" s="11" t="str">
        <x:v>Dư đầu cuối nẹp</x:v>
      </x:c>
      <x:c r="E45" s="11" t="str">
        <x:v>Số</x:v>
      </x:c>
      <x:c r="F45" s="11" t="str">
        <x:v>mm</x:v>
      </x:c>
      <x:c r="G45" s="16"/>
      <x:c r="H45" s="11" t="str">
        <x:v>Không âm</x:v>
      </x:c>
      <x:c r="I45" s="11" t="str">
        <x:v>Dùng dự trù mét nẹp</x:v>
      </x:c>
      <x:c r="J45" s="11" t="str">
        <x:v>Tấm và cạnh</x:v>
      </x:c>
      <x:c r="K45" s="11" t="str">
        <x:v>P0</x:v>
      </x:c>
      <x:c r="L45" s="11" t="str">
        <x:v>Đề xuất T+; nguồn tham khảo khái niệm</x:v>
      </x:c>
      <x:c r="M45" s="11" t="str">
        <x:v>N11 N06</x:v>
      </x:c>
      <x:c r="N45" s="14" t="str">
        <x:v>Chưa chọn</x:v>
      </x:c>
      <x:c r="O45" s="14"/>
      <x:c r="P45" s="14"/>
    </x:row>
    <x:row r="46" ht="42" customHeight="1">
      <x:c r="A46" s="12" t="str">
        <x:v>EDGE-11</x:v>
      </x:c>
      <x:c r="B46" s="10" t="str">
        <x:v>Cạnh và kích thước phôi</x:v>
      </x:c>
      <x:c r="C46" s="10" t="str">
        <x:v>edge_profile</x:v>
      </x:c>
      <x:c r="D46" s="10" t="str">
        <x:v>Bo hoặc vát nẹp</x:v>
      </x:c>
      <x:c r="E46" s="10" t="str">
        <x:v>Tham chiếu</x:v>
      </x:c>
      <x:c r="F46" s="10" t="str"/>
      <x:c r="G46" s="15"/>
      <x:c r="H46" s="10" t="str">
        <x:v>Theo dao và nẹp</x:v>
      </x:c>
      <x:c r="I46" s="10" t="str">
        <x:v>Kiểm tương thích chiều dày</x:v>
      </x:c>
      <x:c r="J46" s="10" t="str">
        <x:v>Tấm và cạnh</x:v>
      </x:c>
      <x:c r="K46" s="10" t="str">
        <x:v>P0</x:v>
      </x:c>
      <x:c r="L46" s="10" t="str">
        <x:v>Đề xuất T+; nguồn tham khảo khái niệm</x:v>
      </x:c>
      <x:c r="M46" s="10" t="str">
        <x:v>N11 N06</x:v>
      </x:c>
      <x:c r="N46" s="14" t="str">
        <x:v>Chưa chọn</x:v>
      </x:c>
      <x:c r="O46" s="14"/>
      <x:c r="P46" s="14"/>
    </x:row>
    <x:row r="47" ht="42" customHeight="1">
      <x:c r="A47" s="13" t="str">
        <x:v>EDGE-12</x:v>
      </x:c>
      <x:c r="B47" s="11" t="str">
        <x:v>Cạnh và kích thước phôi</x:v>
      </x:c>
      <x:c r="C47" s="11" t="str">
        <x:v>dimension_stage</x:v>
      </x:c>
      <x:c r="D47" s="11" t="str">
        <x:v>Trạng thái kích thước</x:v>
      </x:c>
      <x:c r="E47" s="11" t="str">
        <x:v>Danh sách</x:v>
      </x:c>
      <x:c r="F47" s="11" t="str"/>
      <x:c r="G47" s="16" t="str">
        <x:v>Finished</x:v>
      </x:c>
      <x:c r="H47" s="11" t="str">
        <x:v>Finished; Core; Blank</x:v>
      </x:c>
      <x:c r="I47" s="11" t="str">
        <x:v>Mọi bảng xuất phải ghi rõ</x:v>
      </x:c>
      <x:c r="J47" s="11" t="str">
        <x:v>Tấm và cạnh</x:v>
      </x:c>
      <x:c r="K47" s="11" t="str">
        <x:v>P0</x:v>
      </x:c>
      <x:c r="L47" s="11" t="str">
        <x:v>Đề xuất T+; nguồn tham khảo khái niệm</x:v>
      </x:c>
      <x:c r="M47" s="11" t="str">
        <x:v>N11 N06</x:v>
      </x:c>
      <x:c r="N47" s="14" t="str">
        <x:v>Chưa chọn</x:v>
      </x:c>
      <x:c r="O47" s="14"/>
      <x:c r="P47" s="14"/>
    </x:row>
    <x:row r="48" ht="42" customHeight="1">
      <x:c r="A48" s="12" t="str">
        <x:v>CAB-01</x:v>
      </x:c>
      <x:c r="B48" s="10" t="str">
        <x:v>Thùng tủ</x:v>
      </x:c>
      <x:c r="C48" s="10" t="str">
        <x:v>cabinet_width</x:v>
      </x:c>
      <x:c r="D48" s="10" t="str">
        <x:v>Rộng phủ bì</x:v>
      </x:c>
      <x:c r="E48" s="10" t="str">
        <x:v>Số</x:v>
      </x:c>
      <x:c r="F48" s="10" t="str">
        <x:v>mm</x:v>
      </x:c>
      <x:c r="G48" s="15"/>
      <x:c r="H48" s="10" t="str">
        <x:v>Lớn hơn 0</x:v>
      </x:c>
      <x:c r="I48" s="10" t="str">
        <x:v>Trừ hồi theo độ dày thực</x:v>
      </x:c>
      <x:c r="J48" s="10" t="str">
        <x:v>Tủ</x:v>
      </x:c>
      <x:c r="K48" s="10" t="str">
        <x:v>P0</x:v>
      </x:c>
      <x:c r="L48" s="10" t="str">
        <x:v>Đề xuất T+; nguồn tham khảo khái niệm</x:v>
      </x:c>
      <x:c r="M48" s="10" t="str">
        <x:v>N05 N09</x:v>
      </x:c>
      <x:c r="N48" s="14" t="str">
        <x:v>Chưa chọn</x:v>
      </x:c>
      <x:c r="O48" s="14"/>
      <x:c r="P48" s="14"/>
    </x:row>
    <x:row r="49" ht="42" customHeight="1">
      <x:c r="A49" s="13" t="str">
        <x:v>CAB-02</x:v>
      </x:c>
      <x:c r="B49" s="11" t="str">
        <x:v>Thùng tủ</x:v>
      </x:c>
      <x:c r="C49" s="11" t="str">
        <x:v>cabinet_height</x:v>
      </x:c>
      <x:c r="D49" s="11" t="str">
        <x:v>Cao phủ bì</x:v>
      </x:c>
      <x:c r="E49" s="11" t="str">
        <x:v>Số</x:v>
      </x:c>
      <x:c r="F49" s="11" t="str">
        <x:v>mm</x:v>
      </x:c>
      <x:c r="G49" s="16"/>
      <x:c r="H49" s="11" t="str">
        <x:v>Lớn hơn 0</x:v>
      </x:c>
      <x:c r="I49" s="11" t="str">
        <x:v>Khai báo có gồm chân hay không</x:v>
      </x:c>
      <x:c r="J49" s="11" t="str">
        <x:v>Tủ</x:v>
      </x:c>
      <x:c r="K49" s="11" t="str">
        <x:v>P0</x:v>
      </x:c>
      <x:c r="L49" s="11" t="str">
        <x:v>Đề xuất T+; nguồn tham khảo khái niệm</x:v>
      </x:c>
      <x:c r="M49" s="11" t="str">
        <x:v>N05 N09</x:v>
      </x:c>
      <x:c r="N49" s="14" t="str">
        <x:v>Chưa chọn</x:v>
      </x:c>
      <x:c r="O49" s="14"/>
      <x:c r="P49" s="14"/>
    </x:row>
    <x:row r="50" ht="42" customHeight="1">
      <x:c r="A50" s="12" t="str">
        <x:v>CAB-03</x:v>
      </x:c>
      <x:c r="B50" s="10" t="str">
        <x:v>Thùng tủ</x:v>
      </x:c>
      <x:c r="C50" s="10" t="str">
        <x:v>cabinet_depth</x:v>
      </x:c>
      <x:c r="D50" s="10" t="str">
        <x:v>Sâu phủ bì</x:v>
      </x:c>
      <x:c r="E50" s="10" t="str">
        <x:v>Số</x:v>
      </x:c>
      <x:c r="F50" s="10" t="str">
        <x:v>mm</x:v>
      </x:c>
      <x:c r="G50" s="15"/>
      <x:c r="H50" s="10" t="str">
        <x:v>Lớn hơn 0</x:v>
      </x:c>
      <x:c r="I50" s="10" t="str">
        <x:v>Khai báo có gồm cánh và hậu hay không</x:v>
      </x:c>
      <x:c r="J50" s="10" t="str">
        <x:v>Tủ</x:v>
      </x:c>
      <x:c r="K50" s="10" t="str">
        <x:v>P0</x:v>
      </x:c>
      <x:c r="L50" s="10" t="str">
        <x:v>Đề xuất T+; nguồn tham khảo khái niệm</x:v>
      </x:c>
      <x:c r="M50" s="10" t="str">
        <x:v>N05 N09</x:v>
      </x:c>
      <x:c r="N50" s="14" t="str">
        <x:v>Chưa chọn</x:v>
      </x:c>
      <x:c r="O50" s="14"/>
      <x:c r="P50" s="14"/>
    </x:row>
    <x:row r="51" ht="42" customHeight="1">
      <x:c r="A51" s="13" t="str">
        <x:v>CAB-04</x:v>
      </x:c>
      <x:c r="B51" s="11" t="str">
        <x:v>Thùng tủ</x:v>
      </x:c>
      <x:c r="C51" s="11" t="str">
        <x:v>height_reference</x:v>
      </x:c>
      <x:c r="D51" s="11" t="str">
        <x:v>Mốc chiều cao</x:v>
      </x:c>
      <x:c r="E51" s="11" t="str">
        <x:v>Danh sách</x:v>
      </x:c>
      <x:c r="F51" s="11" t="str"/>
      <x:c r="G51" s="16" t="str">
        <x:v>Carcass</x:v>
      </x:c>
      <x:c r="H51" s="11" t="str">
        <x:v>Carcass; Overall</x:v>
      </x:c>
      <x:c r="I51" s="11" t="str">
        <x:v>Không lẫn cao thùng với hoàn thiện</x:v>
      </x:c>
      <x:c r="J51" s="11" t="str">
        <x:v>Tủ</x:v>
      </x:c>
      <x:c r="K51" s="11" t="str">
        <x:v>P0</x:v>
      </x:c>
      <x:c r="L51" s="11" t="str">
        <x:v>Đề xuất T+; nguồn tham khảo khái niệm</x:v>
      </x:c>
      <x:c r="M51" s="11" t="str">
        <x:v>N05 N09</x:v>
      </x:c>
      <x:c r="N51" s="14" t="str">
        <x:v>Chưa chọn</x:v>
      </x:c>
      <x:c r="O51" s="14"/>
      <x:c r="P51" s="14"/>
    </x:row>
    <x:row r="52" ht="42" customHeight="1">
      <x:c r="A52" s="12" t="str">
        <x:v>CAB-05</x:v>
      </x:c>
      <x:c r="B52" s="10" t="str">
        <x:v>Thùng tủ</x:v>
      </x:c>
      <x:c r="C52" s="10" t="str">
        <x:v>depth_reference</x:v>
      </x:c>
      <x:c r="D52" s="10" t="str">
        <x:v>Mốc chiều sâu</x:v>
      </x:c>
      <x:c r="E52" s="10" t="str">
        <x:v>Danh sách</x:v>
      </x:c>
      <x:c r="F52" s="10" t="str"/>
      <x:c r="G52" s="15" t="str">
        <x:v>Overall</x:v>
      </x:c>
      <x:c r="H52" s="10" t="str">
        <x:v>Overall; Carcass</x:v>
      </x:c>
      <x:c r="I52" s="10" t="str">
        <x:v>Suy ra sâu hữu dụng</x:v>
      </x:c>
      <x:c r="J52" s="10" t="str">
        <x:v>Tủ</x:v>
      </x:c>
      <x:c r="K52" s="10" t="str">
        <x:v>P0</x:v>
      </x:c>
      <x:c r="L52" s="10" t="str">
        <x:v>Đề xuất T+; nguồn tham khảo khái niệm</x:v>
      </x:c>
      <x:c r="M52" s="10" t="str">
        <x:v>N05 N09</x:v>
      </x:c>
      <x:c r="N52" s="14" t="str">
        <x:v>Chưa chọn</x:v>
      </x:c>
      <x:c r="O52" s="14"/>
      <x:c r="P52" s="14"/>
    </x:row>
    <x:row r="53" ht="42" customHeight="1">
      <x:c r="A53" s="13" t="str">
        <x:v>CAB-06</x:v>
      </x:c>
      <x:c r="B53" s="11" t="str">
        <x:v>Thùng tủ</x:v>
      </x:c>
      <x:c r="C53" s="11" t="str">
        <x:v>side_thickness_left</x:v>
      </x:c>
      <x:c r="D53" s="11" t="str">
        <x:v>Dày hồi trái</x:v>
      </x:c>
      <x:c r="E53" s="11" t="str">
        <x:v>Số</x:v>
      </x:c>
      <x:c r="F53" s="11" t="str">
        <x:v>mm</x:v>
      </x:c>
      <x:c r="G53" s="16"/>
      <x:c r="H53" s="11" t="str">
        <x:v>Theo material_id</x:v>
      </x:c>
      <x:c r="I53" s="11" t="str">
        <x:v>Cho phép khác hồi phải</x:v>
      </x:c>
      <x:c r="J53" s="11" t="str">
        <x:v>Tủ</x:v>
      </x:c>
      <x:c r="K53" s="11" t="str">
        <x:v>P0</x:v>
      </x:c>
      <x:c r="L53" s="11" t="str">
        <x:v>Đề xuất T+; nguồn tham khảo khái niệm</x:v>
      </x:c>
      <x:c r="M53" s="11" t="str">
        <x:v>N05 N09</x:v>
      </x:c>
      <x:c r="N53" s="14" t="str">
        <x:v>Chưa chọn</x:v>
      </x:c>
      <x:c r="O53" s="14"/>
      <x:c r="P53" s="14"/>
    </x:row>
    <x:row r="54" ht="42" customHeight="1">
      <x:c r="A54" s="12" t="str">
        <x:v>CAB-07</x:v>
      </x:c>
      <x:c r="B54" s="10" t="str">
        <x:v>Thùng tủ</x:v>
      </x:c>
      <x:c r="C54" s="10" t="str">
        <x:v>side_thickness_right</x:v>
      </x:c>
      <x:c r="D54" s="10" t="str">
        <x:v>Dày hồi phải</x:v>
      </x:c>
      <x:c r="E54" s="10" t="str">
        <x:v>Số</x:v>
      </x:c>
      <x:c r="F54" s="10" t="str">
        <x:v>mm</x:v>
      </x:c>
      <x:c r="G54" s="15"/>
      <x:c r="H54" s="10" t="str">
        <x:v>Theo material_id</x:v>
      </x:c>
      <x:c r="I54" s="10" t="str">
        <x:v>Tính đúng lọt lòng</x:v>
      </x:c>
      <x:c r="J54" s="10" t="str">
        <x:v>Tủ</x:v>
      </x:c>
      <x:c r="K54" s="10" t="str">
        <x:v>P0</x:v>
      </x:c>
      <x:c r="L54" s="10" t="str">
        <x:v>Đề xuất T+; nguồn tham khảo khái niệm</x:v>
      </x:c>
      <x:c r="M54" s="10" t="str">
        <x:v>N05 N09</x:v>
      </x:c>
      <x:c r="N54" s="14" t="str">
        <x:v>Chưa chọn</x:v>
      </x:c>
      <x:c r="O54" s="14"/>
      <x:c r="P54" s="14"/>
    </x:row>
    <x:row r="55" ht="42" customHeight="1">
      <x:c r="A55" s="13" t="str">
        <x:v>CAB-08</x:v>
      </x:c>
      <x:c r="B55" s="11" t="str">
        <x:v>Thùng tủ</x:v>
      </x:c>
      <x:c r="C55" s="11" t="str">
        <x:v>top_thickness</x:v>
      </x:c>
      <x:c r="D55" s="11" t="str">
        <x:v>Dày nóc</x:v>
      </x:c>
      <x:c r="E55" s="11" t="str">
        <x:v>Số</x:v>
      </x:c>
      <x:c r="F55" s="11" t="str">
        <x:v>mm</x:v>
      </x:c>
      <x:c r="G55" s="16"/>
      <x:c r="H55" s="11" t="str">
        <x:v>Theo material_id</x:v>
      </x:c>
      <x:c r="I55" s="11" t="str">
        <x:v>Không luôn lấy dày hồi</x:v>
      </x:c>
      <x:c r="J55" s="11" t="str">
        <x:v>Tủ</x:v>
      </x:c>
      <x:c r="K55" s="11" t="str">
        <x:v>P0</x:v>
      </x:c>
      <x:c r="L55" s="11" t="str">
        <x:v>Đề xuất T+; nguồn tham khảo khái niệm</x:v>
      </x:c>
      <x:c r="M55" s="11" t="str">
        <x:v>N05 N09</x:v>
      </x:c>
      <x:c r="N55" s="14" t="str">
        <x:v>Chưa chọn</x:v>
      </x:c>
      <x:c r="O55" s="14"/>
      <x:c r="P55" s="14"/>
    </x:row>
    <x:row r="56" ht="42" customHeight="1">
      <x:c r="A56" s="12" t="str">
        <x:v>CAB-09</x:v>
      </x:c>
      <x:c r="B56" s="10" t="str">
        <x:v>Thùng tủ</x:v>
      </x:c>
      <x:c r="C56" s="10" t="str">
        <x:v>bottom_thickness</x:v>
      </x:c>
      <x:c r="D56" s="10" t="str">
        <x:v>Dày đáy</x:v>
      </x:c>
      <x:c r="E56" s="10" t="str">
        <x:v>Số</x:v>
      </x:c>
      <x:c r="F56" s="10" t="str">
        <x:v>mm</x:v>
      </x:c>
      <x:c r="G56" s="15"/>
      <x:c r="H56" s="10" t="str">
        <x:v>Theo material_id</x:v>
      </x:c>
      <x:c r="I56" s="10" t="str">
        <x:v>Không luôn lấy dày hồi</x:v>
      </x:c>
      <x:c r="J56" s="10" t="str">
        <x:v>Tủ</x:v>
      </x:c>
      <x:c r="K56" s="10" t="str">
        <x:v>P0</x:v>
      </x:c>
      <x:c r="L56" s="10" t="str">
        <x:v>Đề xuất T+; nguồn tham khảo khái niệm</x:v>
      </x:c>
      <x:c r="M56" s="10" t="str">
        <x:v>N05 N09</x:v>
      </x:c>
      <x:c r="N56" s="14" t="str">
        <x:v>Chưa chọn</x:v>
      </x:c>
      <x:c r="O56" s="14"/>
      <x:c r="P56" s="14"/>
    </x:row>
    <x:row r="57" ht="42" customHeight="1">
      <x:c r="A57" s="13" t="str">
        <x:v>CAB-10</x:v>
      </x:c>
      <x:c r="B57" s="11" t="str">
        <x:v>Thùng tủ</x:v>
      </x:c>
      <x:c r="C57" s="11" t="str">
        <x:v>joint_priority</x:v>
      </x:c>
      <x:c r="D57" s="11" t="str">
        <x:v>Tấm chạy suốt</x:v>
      </x:c>
      <x:c r="E57" s="11" t="str">
        <x:v>Danh sách</x:v>
      </x:c>
      <x:c r="F57" s="11" t="str"/>
      <x:c r="G57" s="16" t="str">
        <x:v>Hồi chạy suốt</x:v>
      </x:c>
      <x:c r="H57" s="11" t="str">
        <x:v>Sides_master; Top_bottom_master</x:v>
      </x:c>
      <x:c r="I57" s="11" t="str">
        <x:v>Nóc đáy kẹp giữa theo preset T+</x:v>
      </x:c>
      <x:c r="J57" s="11" t="str">
        <x:v>Tủ</x:v>
      </x:c>
      <x:c r="K57" s="11" t="str">
        <x:v>P0</x:v>
      </x:c>
      <x:c r="L57" s="11" t="str">
        <x:v>Yêu cầu T+ trước đây; cần chốt lại</x:v>
      </x:c>
      <x:c r="M57" s="11" t="str">
        <x:v>N05 N09</x:v>
      </x:c>
      <x:c r="N57" s="14" t="str">
        <x:v>Chưa chọn</x:v>
      </x:c>
      <x:c r="O57" s="14"/>
      <x:c r="P57" s="14"/>
    </x:row>
    <x:row r="58" ht="42" customHeight="1">
      <x:c r="A58" s="12" t="str">
        <x:v>CAB-11</x:v>
      </x:c>
      <x:c r="B58" s="10" t="str">
        <x:v>Thùng tủ</x:v>
      </x:c>
      <x:c r="C58" s="10" t="str">
        <x:v>top_type</x:v>
      </x:c>
      <x:c r="D58" s="10" t="str">
        <x:v>Kiểu nóc</x:v>
      </x:c>
      <x:c r="E58" s="10" t="str">
        <x:v>Danh sách</x:v>
      </x:c>
      <x:c r="F58" s="10" t="str"/>
      <x:c r="G58" s="15" t="str">
        <x:v>Full</x:v>
      </x:c>
      <x:c r="H58" s="10" t="str">
        <x:v>Full; Rails; Open</x:v>
      </x:c>
      <x:c r="I58" s="10" t="str">
        <x:v>Ảnh hưởng tấm và liên kết</x:v>
      </x:c>
      <x:c r="J58" s="10" t="str">
        <x:v>Tủ</x:v>
      </x:c>
      <x:c r="K58" s="10" t="str">
        <x:v>P0</x:v>
      </x:c>
      <x:c r="L58" s="10" t="str">
        <x:v>Đề xuất T+; nguồn tham khảo khái niệm</x:v>
      </x:c>
      <x:c r="M58" s="10" t="str">
        <x:v>N05 N09</x:v>
      </x:c>
      <x:c r="N58" s="14" t="str">
        <x:v>Chưa chọn</x:v>
      </x:c>
      <x:c r="O58" s="14"/>
      <x:c r="P58" s="14"/>
    </x:row>
    <x:row r="59" ht="42" customHeight="1">
      <x:c r="A59" s="13" t="str">
        <x:v>CAB-12</x:v>
      </x:c>
      <x:c r="B59" s="11" t="str">
        <x:v>Thùng tủ</x:v>
      </x:c>
      <x:c r="C59" s="11" t="str">
        <x:v>rail_front_width</x:v>
      </x:c>
      <x:c r="D59" s="11" t="str">
        <x:v>Rộng xà trước</x:v>
      </x:c>
      <x:c r="E59" s="11" t="str">
        <x:v>Số</x:v>
      </x:c>
      <x:c r="F59" s="11" t="str">
        <x:v>mm</x:v>
      </x:c>
      <x:c r="G59" s="16"/>
      <x:c r="H59" s="11" t="str">
        <x:v>Lớn hơn 0</x:v>
      </x:c>
      <x:c r="I59" s="11" t="str">
        <x:v>Tách bề rộng khỏi bề dày</x:v>
      </x:c>
      <x:c r="J59" s="11" t="str">
        <x:v>Tủ</x:v>
      </x:c>
      <x:c r="K59" s="11" t="str">
        <x:v>P0</x:v>
      </x:c>
      <x:c r="L59" s="11" t="str">
        <x:v>Đề xuất T+; nguồn tham khảo khái niệm</x:v>
      </x:c>
      <x:c r="M59" s="11" t="str">
        <x:v>N05 N09</x:v>
      </x:c>
      <x:c r="N59" s="14" t="str">
        <x:v>Chưa chọn</x:v>
      </x:c>
      <x:c r="O59" s="14"/>
      <x:c r="P59" s="14"/>
    </x:row>
    <x:row r="60" ht="42" customHeight="1">
      <x:c r="A60" s="12" t="str">
        <x:v>CAB-13</x:v>
      </x:c>
      <x:c r="B60" s="10" t="str">
        <x:v>Thùng tủ</x:v>
      </x:c>
      <x:c r="C60" s="10" t="str">
        <x:v>rail_back_width</x:v>
      </x:c>
      <x:c r="D60" s="10" t="str">
        <x:v>Rộng xà sau</x:v>
      </x:c>
      <x:c r="E60" s="10" t="str">
        <x:v>Số</x:v>
      </x:c>
      <x:c r="F60" s="10" t="str">
        <x:v>mm</x:v>
      </x:c>
      <x:c r="G60" s="15"/>
      <x:c r="H60" s="10" t="str">
        <x:v>Lớn hơn 0</x:v>
      </x:c>
      <x:c r="I60" s="10" t="str">
        <x:v>Kiểm vùng chậu và thiết bị</x:v>
      </x:c>
      <x:c r="J60" s="10" t="str">
        <x:v>Tủ</x:v>
      </x:c>
      <x:c r="K60" s="10" t="str">
        <x:v>P0</x:v>
      </x:c>
      <x:c r="L60" s="10" t="str">
        <x:v>Đề xuất T+; nguồn tham khảo khái niệm</x:v>
      </x:c>
      <x:c r="M60" s="10" t="str">
        <x:v>N05 N09</x:v>
      </x:c>
      <x:c r="N60" s="14" t="str">
        <x:v>Chưa chọn</x:v>
      </x:c>
      <x:c r="O60" s="14"/>
      <x:c r="P60" s="14"/>
    </x:row>
    <x:row r="61" ht="42" customHeight="1">
      <x:c r="A61" s="13" t="str">
        <x:v>CAB-14</x:v>
      </x:c>
      <x:c r="B61" s="11" t="str">
        <x:v>Thùng tủ</x:v>
      </x:c>
      <x:c r="C61" s="11" t="str">
        <x:v>rail_setback</x:v>
      </x:c>
      <x:c r="D61" s="11" t="str">
        <x:v>Lùi xà mặt trước</x:v>
      </x:c>
      <x:c r="E61" s="11" t="str">
        <x:v>Số</x:v>
      </x:c>
      <x:c r="F61" s="11" t="str">
        <x:v>mm</x:v>
      </x:c>
      <x:c r="G61" s="16"/>
      <x:c r="H61" s="11" t="str">
        <x:v>Không âm</x:v>
      </x:c>
      <x:c r="I61" s="11" t="str">
        <x:v>Liên hệ khe móc tay</x:v>
      </x:c>
      <x:c r="J61" s="11" t="str">
        <x:v>Tủ</x:v>
      </x:c>
      <x:c r="K61" s="11" t="str">
        <x:v>P0</x:v>
      </x:c>
      <x:c r="L61" s="11" t="str">
        <x:v>Đề xuất T+; nguồn tham khảo khái niệm</x:v>
      </x:c>
      <x:c r="M61" s="11" t="str">
        <x:v>N05 N09</x:v>
      </x:c>
      <x:c r="N61" s="14" t="str">
        <x:v>Chưa chọn</x:v>
      </x:c>
      <x:c r="O61" s="14"/>
      <x:c r="P61" s="14"/>
    </x:row>
    <x:row r="62" ht="42" customHeight="1">
      <x:c r="A62" s="12" t="str">
        <x:v>CAB-15</x:v>
      </x:c>
      <x:c r="B62" s="10" t="str">
        <x:v>Thùng tủ</x:v>
      </x:c>
      <x:c r="C62" s="10" t="str">
        <x:v>plinth_height</x:v>
      </x:c>
      <x:c r="D62" s="10" t="str">
        <x:v>Cao chân tủ</x:v>
      </x:c>
      <x:c r="E62" s="10" t="str">
        <x:v>Số</x:v>
      </x:c>
      <x:c r="F62" s="10" t="str">
        <x:v>mm</x:v>
      </x:c>
      <x:c r="G62" s="15"/>
      <x:c r="H62" s="10" t="str">
        <x:v>Không âm</x:v>
      </x:c>
      <x:c r="I62" s="10" t="str">
        <x:v>Theo thiết kế</x:v>
      </x:c>
      <x:c r="J62" s="10" t="str">
        <x:v>Tủ</x:v>
      </x:c>
      <x:c r="K62" s="10" t="str">
        <x:v>P0</x:v>
      </x:c>
      <x:c r="L62" s="10" t="str">
        <x:v>Đề xuất T+; nguồn tham khảo khái niệm</x:v>
      </x:c>
      <x:c r="M62" s="10" t="str">
        <x:v>N05 N09</x:v>
      </x:c>
      <x:c r="N62" s="14" t="str">
        <x:v>Chưa chọn</x:v>
      </x:c>
      <x:c r="O62" s="14"/>
      <x:c r="P62" s="14"/>
    </x:row>
    <x:row r="63" ht="42" customHeight="1">
      <x:c r="A63" s="13" t="str">
        <x:v>CAB-16</x:v>
      </x:c>
      <x:c r="B63" s="11" t="str">
        <x:v>Thùng tủ</x:v>
      </x:c>
      <x:c r="C63" s="11" t="str">
        <x:v>plinth_setback</x:v>
      </x:c>
      <x:c r="D63" s="11" t="str">
        <x:v>Thụt chân</x:v>
      </x:c>
      <x:c r="E63" s="11" t="str">
        <x:v>Số</x:v>
      </x:c>
      <x:c r="F63" s="11" t="str">
        <x:v>mm</x:v>
      </x:c>
      <x:c r="G63" s="16"/>
      <x:c r="H63" s="11" t="str">
        <x:v>Không âm</x:v>
      </x:c>
      <x:c r="I63" s="11" t="str">
        <x:v>Kiểm ngăn kéo thấp</x:v>
      </x:c>
      <x:c r="J63" s="11" t="str">
        <x:v>Tủ</x:v>
      </x:c>
      <x:c r="K63" s="11" t="str">
        <x:v>P0</x:v>
      </x:c>
      <x:c r="L63" s="11" t="str">
        <x:v>Đề xuất T+; nguồn tham khảo khái niệm</x:v>
      </x:c>
      <x:c r="M63" s="11" t="str">
        <x:v>N05 N09</x:v>
      </x:c>
      <x:c r="N63" s="14" t="str">
        <x:v>Chưa chọn</x:v>
      </x:c>
      <x:c r="O63" s="14"/>
      <x:c r="P63" s="14"/>
    </x:row>
    <x:row r="64" ht="42" customHeight="1">
      <x:c r="A64" s="12" t="str">
        <x:v>CAB-17</x:v>
      </x:c>
      <x:c r="B64" s="10" t="str">
        <x:v>Thùng tủ</x:v>
      </x:c>
      <x:c r="C64" s="10" t="str">
        <x:v>filler_left</x:v>
      </x:c>
      <x:c r="D64" s="10" t="str">
        <x:v>Bù trái</x:v>
      </x:c>
      <x:c r="E64" s="10" t="str">
        <x:v>Số</x:v>
      </x:c>
      <x:c r="F64" s="10" t="str">
        <x:v>mm</x:v>
      </x:c>
      <x:c r="G64" s="15" t="n">
        <x:v>0</x:v>
      </x:c>
      <x:c r="H64" s="10" t="str">
        <x:v>Không âm</x:v>
      </x:c>
      <x:c r="I64" s="10" t="str">
        <x:v>Khoảng mở cánh cạnh tường</x:v>
      </x:c>
      <x:c r="J64" s="10" t="str">
        <x:v>Tủ</x:v>
      </x:c>
      <x:c r="K64" s="10" t="str">
        <x:v>P0</x:v>
      </x:c>
      <x:c r="L64" s="10" t="str">
        <x:v>Đề xuất T+; nguồn tham khảo khái niệm</x:v>
      </x:c>
      <x:c r="M64" s="10" t="str">
        <x:v>N05 N09</x:v>
      </x:c>
      <x:c r="N64" s="14" t="str">
        <x:v>Chưa chọn</x:v>
      </x:c>
      <x:c r="O64" s="14"/>
      <x:c r="P64" s="14"/>
    </x:row>
    <x:row r="65" ht="42" customHeight="1">
      <x:c r="A65" s="13" t="str">
        <x:v>CAB-18</x:v>
      </x:c>
      <x:c r="B65" s="11" t="str">
        <x:v>Thùng tủ</x:v>
      </x:c>
      <x:c r="C65" s="11" t="str">
        <x:v>filler_right</x:v>
      </x:c>
      <x:c r="D65" s="11" t="str">
        <x:v>Bù phải</x:v>
      </x:c>
      <x:c r="E65" s="11" t="str">
        <x:v>Số</x:v>
      </x:c>
      <x:c r="F65" s="11" t="str">
        <x:v>mm</x:v>
      </x:c>
      <x:c r="G65" s="16" t="n">
        <x:v>0</x:v>
      </x:c>
      <x:c r="H65" s="11" t="str">
        <x:v>Không âm</x:v>
      </x:c>
      <x:c r="I65" s="11" t="str">
        <x:v>Cho phép lắp và chỉnh</x:v>
      </x:c>
      <x:c r="J65" s="11" t="str">
        <x:v>Tủ</x:v>
      </x:c>
      <x:c r="K65" s="11" t="str">
        <x:v>P0</x:v>
      </x:c>
      <x:c r="L65" s="11" t="str">
        <x:v>Đề xuất T+; nguồn tham khảo khái niệm</x:v>
      </x:c>
      <x:c r="M65" s="11" t="str">
        <x:v>N05 N09</x:v>
      </x:c>
      <x:c r="N65" s="14" t="str">
        <x:v>Chưa chọn</x:v>
      </x:c>
      <x:c r="O65" s="14"/>
      <x:c r="P65" s="14"/>
    </x:row>
    <x:row r="66" ht="42" customHeight="1">
      <x:c r="A66" s="12" t="str">
        <x:v>BACK-01</x:v>
      </x:c>
      <x:c r="B66" s="10" t="str">
        <x:v>Hậu và khoảng kỹ thuật</x:v>
      </x:c>
      <x:c r="C66" s="10" t="str">
        <x:v>back_mode</x:v>
      </x:c>
      <x:c r="D66" s="10" t="str">
        <x:v>Kiểu hậu</x:v>
      </x:c>
      <x:c r="E66" s="10" t="str">
        <x:v>Danh sách</x:v>
      </x:c>
      <x:c r="F66" s="10" t="str"/>
      <x:c r="G66" s="15" t="str">
        <x:v>Inset</x:v>
      </x:c>
      <x:c r="H66" s="10" t="str">
        <x:v>Overlay; Inset; Groove; None</x:v>
      </x:c>
      <x:c r="I66" s="10" t="str">
        <x:v>Mỗi kiểu có công thức riêng</x:v>
      </x:c>
      <x:c r="J66" s="10" t="str">
        <x:v>Tủ</x:v>
      </x:c>
      <x:c r="K66" s="10" t="str">
        <x:v>P0</x:v>
      </x:c>
      <x:c r="L66" s="10" t="str">
        <x:v>Đề xuất T+; nguồn tham khảo khái niệm</x:v>
      </x:c>
      <x:c r="M66" s="10" t="str">
        <x:v>N09 N05</x:v>
      </x:c>
      <x:c r="N66" s="14" t="str">
        <x:v>Chưa chọn</x:v>
      </x:c>
      <x:c r="O66" s="14"/>
      <x:c r="P66" s="14"/>
    </x:row>
    <x:row r="67" ht="42" customHeight="1">
      <x:c r="A67" s="13" t="str">
        <x:v>BACK-02</x:v>
      </x:c>
      <x:c r="B67" s="11" t="str">
        <x:v>Hậu và khoảng kỹ thuật</x:v>
      </x:c>
      <x:c r="C67" s="11" t="str">
        <x:v>back_thickness</x:v>
      </x:c>
      <x:c r="D67" s="11" t="str">
        <x:v>Dày hậu</x:v>
      </x:c>
      <x:c r="E67" s="11" t="str">
        <x:v>Số</x:v>
      </x:c>
      <x:c r="F67" s="11" t="str">
        <x:v>mm</x:v>
      </x:c>
      <x:c r="G67" s="16"/>
      <x:c r="H67" s="11" t="str">
        <x:v>Theo vật liệu</x:v>
      </x:c>
      <x:c r="I67" s="11" t="str">
        <x:v>Không lấy mặc định dày thùng</x:v>
      </x:c>
      <x:c r="J67" s="11" t="str">
        <x:v>Tủ</x:v>
      </x:c>
      <x:c r="K67" s="11" t="str">
        <x:v>P0</x:v>
      </x:c>
      <x:c r="L67" s="11" t="str">
        <x:v>Đề xuất T+; nguồn tham khảo khái niệm</x:v>
      </x:c>
      <x:c r="M67" s="11" t="str">
        <x:v>N09 N05</x:v>
      </x:c>
      <x:c r="N67" s="14" t="str">
        <x:v>Chưa chọn</x:v>
      </x:c>
      <x:c r="O67" s="14"/>
      <x:c r="P67" s="14"/>
    </x:row>
    <x:row r="68" ht="42" customHeight="1">
      <x:c r="A68" s="12" t="str">
        <x:v>BACK-03</x:v>
      </x:c>
      <x:c r="B68" s="10" t="str">
        <x:v>Hậu và khoảng kỹ thuật</x:v>
      </x:c>
      <x:c r="C68" s="10" t="str">
        <x:v>back_setback</x:v>
      </x:c>
      <x:c r="D68" s="10" t="str">
        <x:v>Lùi hậu</x:v>
      </x:c>
      <x:c r="E68" s="10" t="str">
        <x:v>Số</x:v>
      </x:c>
      <x:c r="F68" s="10" t="str">
        <x:v>mm</x:v>
      </x:c>
      <x:c r="G68" s="15"/>
      <x:c r="H68" s="10" t="str">
        <x:v>Không âm</x:v>
      </x:c>
      <x:c r="I68" s="10" t="str">
        <x:v>Định nghĩa từ mặt sau thùng</x:v>
      </x:c>
      <x:c r="J68" s="10" t="str">
        <x:v>Tủ</x:v>
      </x:c>
      <x:c r="K68" s="10" t="str">
        <x:v>P0</x:v>
      </x:c>
      <x:c r="L68" s="10" t="str">
        <x:v>Đề xuất T+; nguồn tham khảo khái niệm</x:v>
      </x:c>
      <x:c r="M68" s="10" t="str">
        <x:v>N09 N05</x:v>
      </x:c>
      <x:c r="N68" s="14" t="str">
        <x:v>Chưa chọn</x:v>
      </x:c>
      <x:c r="O68" s="14"/>
      <x:c r="P68" s="14"/>
    </x:row>
    <x:row r="69" ht="42" customHeight="1">
      <x:c r="A69" s="13" t="str">
        <x:v>BACK-04</x:v>
      </x:c>
      <x:c r="B69" s="11" t="str">
        <x:v>Hậu và khoảng kỹ thuật</x:v>
      </x:c>
      <x:c r="C69" s="11" t="str">
        <x:v>back_groove_width</x:v>
      </x:c>
      <x:c r="D69" s="11" t="str">
        <x:v>Rộng rãnh hậu</x:v>
      </x:c>
      <x:c r="E69" s="11" t="str">
        <x:v>Số</x:v>
      </x:c>
      <x:c r="F69" s="11" t="str">
        <x:v>mm</x:v>
      </x:c>
      <x:c r="G69" s="16"/>
      <x:c r="H69" s="11" t="str">
        <x:v>Theo hậu và độ hở</x:v>
      </x:c>
      <x:c r="I69" s="11" t="str">
        <x:v>Kiểm khớp dao</x:v>
      </x:c>
      <x:c r="J69" s="11" t="str">
        <x:v>Tủ</x:v>
      </x:c>
      <x:c r="K69" s="11" t="str">
        <x:v>P0</x:v>
      </x:c>
      <x:c r="L69" s="11" t="str">
        <x:v>Đề xuất T+; nguồn tham khảo khái niệm</x:v>
      </x:c>
      <x:c r="M69" s="11" t="str">
        <x:v>N09 N05</x:v>
      </x:c>
      <x:c r="N69" s="14" t="str">
        <x:v>Chưa chọn</x:v>
      </x:c>
      <x:c r="O69" s="14"/>
      <x:c r="P69" s="14"/>
    </x:row>
    <x:row r="70" ht="42" customHeight="1">
      <x:c r="A70" s="12" t="str">
        <x:v>BACK-05</x:v>
      </x:c>
      <x:c r="B70" s="10" t="str">
        <x:v>Hậu và khoảng kỹ thuật</x:v>
      </x:c>
      <x:c r="C70" s="10" t="str">
        <x:v>back_groove_depth</x:v>
      </x:c>
      <x:c r="D70" s="10" t="str">
        <x:v>Sâu rãnh hậu</x:v>
      </x:c>
      <x:c r="E70" s="10" t="str">
        <x:v>Số</x:v>
      </x:c>
      <x:c r="F70" s="10" t="str">
        <x:v>mm</x:v>
      </x:c>
      <x:c r="G70" s="15"/>
      <x:c r="H70" s="10" t="str">
        <x:v>Nhỏ hơn dày tấm chứa rãnh</x:v>
      </x:c>
      <x:c r="I70" s="10" t="str">
        <x:v>Giữ chiều dày dư an toàn</x:v>
      </x:c>
      <x:c r="J70" s="10" t="str">
        <x:v>Tủ</x:v>
      </x:c>
      <x:c r="K70" s="10" t="str">
        <x:v>P0</x:v>
      </x:c>
      <x:c r="L70" s="10" t="str">
        <x:v>Đề xuất T+; nguồn tham khảo khái niệm</x:v>
      </x:c>
      <x:c r="M70" s="10" t="str">
        <x:v>N09 N05</x:v>
      </x:c>
      <x:c r="N70" s="14" t="str">
        <x:v>Chưa chọn</x:v>
      </x:c>
      <x:c r="O70" s="14"/>
      <x:c r="P70" s="14"/>
    </x:row>
    <x:row r="71" ht="42" customHeight="1">
      <x:c r="A71" s="13" t="str">
        <x:v>BACK-06</x:v>
      </x:c>
      <x:c r="B71" s="11" t="str">
        <x:v>Hậu và khoảng kỹ thuật</x:v>
      </x:c>
      <x:c r="C71" s="11" t="str">
        <x:v>back_fit_clearance</x:v>
      </x:c>
      <x:c r="D71" s="11" t="str">
        <x:v>Độ hở lắp hậu</x:v>
      </x:c>
      <x:c r="E71" s="11" t="str">
        <x:v>Số</x:v>
      </x:c>
      <x:c r="F71" s="11" t="str">
        <x:v>mm</x:v>
      </x:c>
      <x:c r="G71" s="16"/>
      <x:c r="H71" s="11" t="str">
        <x:v>Theo xưởng</x:v>
      </x:c>
      <x:c r="I71" s="11" t="str">
        <x:v>Không tự lấy bằng dung sai hình học</x:v>
      </x:c>
      <x:c r="J71" s="11" t="str">
        <x:v>Tủ</x:v>
      </x:c>
      <x:c r="K71" s="11" t="str">
        <x:v>P0</x:v>
      </x:c>
      <x:c r="L71" s="11" t="str">
        <x:v>Đề xuất T+; nguồn tham khảo khái niệm</x:v>
      </x:c>
      <x:c r="M71" s="11" t="str">
        <x:v>N09 N05</x:v>
      </x:c>
      <x:c r="N71" s="14" t="str">
        <x:v>Chưa chọn</x:v>
      </x:c>
      <x:c r="O71" s="14"/>
      <x:c r="P71" s="14"/>
    </x:row>
    <x:row r="72" ht="42" customHeight="1">
      <x:c r="A72" s="12" t="str">
        <x:v>BACK-07</x:v>
      </x:c>
      <x:c r="B72" s="10" t="str">
        <x:v>Hậu và khoảng kỹ thuật</x:v>
      </x:c>
      <x:c r="C72" s="10" t="str">
        <x:v>service_void</x:v>
      </x:c>
      <x:c r="D72" s="10" t="str">
        <x:v>Khoảng kỹ thuật sau</x:v>
      </x:c>
      <x:c r="E72" s="10" t="str">
        <x:v>Số</x:v>
      </x:c>
      <x:c r="F72" s="10" t="str">
        <x:v>mm</x:v>
      </x:c>
      <x:c r="G72" s="15"/>
      <x:c r="H72" s="10" t="str">
        <x:v>Không âm</x:v>
      </x:c>
      <x:c r="I72" s="10" t="str">
        <x:v>Tách khỏi lùi hậu</x:v>
      </x:c>
      <x:c r="J72" s="10" t="str">
        <x:v>Tủ</x:v>
      </x:c>
      <x:c r="K72" s="10" t="str">
        <x:v>P0</x:v>
      </x:c>
      <x:c r="L72" s="10" t="str">
        <x:v>Đề xuất T+; nguồn tham khảo khái niệm</x:v>
      </x:c>
      <x:c r="M72" s="10" t="str">
        <x:v>N09 N05</x:v>
      </x:c>
      <x:c r="N72" s="14" t="str">
        <x:v>Chưa chọn</x:v>
      </x:c>
      <x:c r="O72" s="14"/>
      <x:c r="P72" s="14"/>
    </x:row>
    <x:row r="73" ht="42" customHeight="1">
      <x:c r="A73" s="13" t="str">
        <x:v>BACK-08</x:v>
      </x:c>
      <x:c r="B73" s="11" t="str">
        <x:v>Hậu và khoảng kỹ thuật</x:v>
      </x:c>
      <x:c r="C73" s="11" t="str">
        <x:v>back_split_height</x:v>
      </x:c>
      <x:c r="D73" s="11" t="str">
        <x:v>Cao điểm chia hậu</x:v>
      </x:c>
      <x:c r="E73" s="11" t="str">
        <x:v>Số</x:v>
      </x:c>
      <x:c r="F73" s="11" t="str">
        <x:v>mm</x:v>
      </x:c>
      <x:c r="G73" s="16"/>
      <x:c r="H73" s="11" t="str">
        <x:v>Trong tấm</x:v>
      </x:c>
      <x:c r="I73" s="11" t="str">
        <x:v>Khi vượt khổ ván hoặc vận chuyển</x:v>
      </x:c>
      <x:c r="J73" s="11" t="str">
        <x:v>Tủ</x:v>
      </x:c>
      <x:c r="K73" s="11" t="str">
        <x:v>P0</x:v>
      </x:c>
      <x:c r="L73" s="11" t="str">
        <x:v>Đề xuất T+; nguồn tham khảo khái niệm</x:v>
      </x:c>
      <x:c r="M73" s="11" t="str">
        <x:v>N09 N05</x:v>
      </x:c>
      <x:c r="N73" s="14" t="str">
        <x:v>Chưa chọn</x:v>
      </x:c>
      <x:c r="O73" s="14"/>
      <x:c r="P73" s="14"/>
    </x:row>
    <x:row r="74" ht="42" customHeight="1">
      <x:c r="A74" s="12" t="str">
        <x:v>DIV-01</x:v>
      </x:c>
      <x:c r="B74" s="10" t="str">
        <x:v>Chia khoang và đợt</x:v>
      </x:c>
      <x:c r="C74" s="10" t="str">
        <x:v>bay_count</x:v>
      </x:c>
      <x:c r="D74" s="10" t="str">
        <x:v>Số khoang</x:v>
      </x:c>
      <x:c r="E74" s="10" t="str">
        <x:v>Số nguyên</x:v>
      </x:c>
      <x:c r="F74" s="10" t="str">
        <x:v>khoang</x:v>
      </x:c>
      <x:c r="G74" s="15" t="n">
        <x:v>1</x:v>
      </x:c>
      <x:c r="H74" s="10" t="str">
        <x:v>Từ 1</x:v>
      </x:c>
      <x:c r="I74" s="10" t="str">
        <x:v>Tổng kích thước phải khớp</x:v>
      </x:c>
      <x:c r="J74" s="10" t="str">
        <x:v>Khoang</x:v>
      </x:c>
      <x:c r="K74" s="10" t="str">
        <x:v>P0</x:v>
      </x:c>
      <x:c r="L74" s="10" t="str">
        <x:v>Đề xuất T+; nguồn tham khảo khái niệm</x:v>
      </x:c>
      <x:c r="M74" s="10" t="str">
        <x:v>N09 N05</x:v>
      </x:c>
      <x:c r="N74" s="14" t="str">
        <x:v>Chưa chọn</x:v>
      </x:c>
      <x:c r="O74" s="14"/>
      <x:c r="P74" s="14"/>
    </x:row>
    <x:row r="75" ht="42" customHeight="1">
      <x:c r="A75" s="13" t="str">
        <x:v>DIV-02</x:v>
      </x:c>
      <x:c r="B75" s="11" t="str">
        <x:v>Chia khoang và đợt</x:v>
      </x:c>
      <x:c r="C75" s="11" t="str">
        <x:v>bay_width_mode</x:v>
      </x:c>
      <x:c r="D75" s="11" t="str">
        <x:v>Cách chia khoang</x:v>
      </x:c>
      <x:c r="E75" s="11" t="str">
        <x:v>Danh sách</x:v>
      </x:c>
      <x:c r="F75" s="11" t="str"/>
      <x:c r="G75" s="16" t="str">
        <x:v>Equal</x:v>
      </x:c>
      <x:c r="H75" s="11" t="str">
        <x:v>Equal; Fixed; Ratio</x:v>
      </x:c>
      <x:c r="I75" s="11" t="str">
        <x:v>Khoang cuối hấp thụ sai số có kiểm soát</x:v>
      </x:c>
      <x:c r="J75" s="11" t="str">
        <x:v>Khoang</x:v>
      </x:c>
      <x:c r="K75" s="11" t="str">
        <x:v>P0</x:v>
      </x:c>
      <x:c r="L75" s="11" t="str">
        <x:v>Đề xuất T+; nguồn tham khảo khái niệm</x:v>
      </x:c>
      <x:c r="M75" s="11" t="str">
        <x:v>N09 N05</x:v>
      </x:c>
      <x:c r="N75" s="14" t="str">
        <x:v>Chưa chọn</x:v>
      </x:c>
      <x:c r="O75" s="14"/>
      <x:c r="P75" s="14"/>
    </x:row>
    <x:row r="76" ht="42" customHeight="1">
      <x:c r="A76" s="12" t="str">
        <x:v>DIV-03</x:v>
      </x:c>
      <x:c r="B76" s="10" t="str">
        <x:v>Chia khoang và đợt</x:v>
      </x:c>
      <x:c r="C76" s="10" t="str">
        <x:v>bay_width_values</x:v>
      </x:c>
      <x:c r="D76" s="10" t="str">
        <x:v>Danh sách rộng khoang</x:v>
      </x:c>
      <x:c r="E76" s="10" t="str">
        <x:v>Mảng</x:v>
      </x:c>
      <x:c r="F76" s="10" t="str">
        <x:v>mm</x:v>
      </x:c>
      <x:c r="G76" s="15"/>
      <x:c r="H76" s="10" t="str">
        <x:v>Số dương</x:v>
      </x:c>
      <x:c r="I76" s="10" t="str">
        <x:v>Khai báo là lọt lòng hay module</x:v>
      </x:c>
      <x:c r="J76" s="10" t="str">
        <x:v>Khoang</x:v>
      </x:c>
      <x:c r="K76" s="10" t="str">
        <x:v>P0</x:v>
      </x:c>
      <x:c r="L76" s="10" t="str">
        <x:v>Đề xuất T+; nguồn tham khảo khái niệm</x:v>
      </x:c>
      <x:c r="M76" s="10" t="str">
        <x:v>N09 N05</x:v>
      </x:c>
      <x:c r="N76" s="14" t="str">
        <x:v>Chưa chọn</x:v>
      </x:c>
      <x:c r="O76" s="14"/>
      <x:c r="P76" s="14"/>
    </x:row>
    <x:row r="77" ht="42" customHeight="1">
      <x:c r="A77" s="13" t="str">
        <x:v>DIV-04</x:v>
      </x:c>
      <x:c r="B77" s="11" t="str">
        <x:v>Chia khoang và đợt</x:v>
      </x:c>
      <x:c r="C77" s="11" t="str">
        <x:v>partition_mode</x:v>
      </x:c>
      <x:c r="D77" s="11" t="str">
        <x:v>Kiểu vách</x:v>
      </x:c>
      <x:c r="E77" s="11" t="str">
        <x:v>Danh sách</x:v>
      </x:c>
      <x:c r="F77" s="11" t="str"/>
      <x:c r="G77" s="16" t="str">
        <x:v>Shared</x:v>
      </x:c>
      <x:c r="H77" s="11" t="str">
        <x:v>Shared; Independent</x:v>
      </x:c>
      <x:c r="I77" s="11" t="str">
        <x:v>Independent có hồi đôi ở tiếp giáp</x:v>
      </x:c>
      <x:c r="J77" s="11" t="str">
        <x:v>Khoang</x:v>
      </x:c>
      <x:c r="K77" s="11" t="str">
        <x:v>P0</x:v>
      </x:c>
      <x:c r="L77" s="11" t="str">
        <x:v>Đề xuất T+; nguồn tham khảo khái niệm</x:v>
      </x:c>
      <x:c r="M77" s="11" t="str">
        <x:v>N09 N05</x:v>
      </x:c>
      <x:c r="N77" s="14" t="str">
        <x:v>Chưa chọn</x:v>
      </x:c>
      <x:c r="O77" s="14"/>
      <x:c r="P77" s="14"/>
    </x:row>
    <x:row r="78" ht="42" customHeight="1">
      <x:c r="A78" s="12" t="str">
        <x:v>DIV-05</x:v>
      </x:c>
      <x:c r="B78" s="10" t="str">
        <x:v>Chia khoang và đợt</x:v>
      </x:c>
      <x:c r="C78" s="10" t="str">
        <x:v>partition_thickness</x:v>
      </x:c>
      <x:c r="D78" s="10" t="str">
        <x:v>Dày vách giữa</x:v>
      </x:c>
      <x:c r="E78" s="10" t="str">
        <x:v>Số</x:v>
      </x:c>
      <x:c r="F78" s="10" t="str">
        <x:v>mm</x:v>
      </x:c>
      <x:c r="G78" s="15"/>
      <x:c r="H78" s="10" t="str">
        <x:v>Theo vật liệu</x:v>
      </x:c>
      <x:c r="I78" s="10" t="str">
        <x:v>Trừ đúng tổng số vách</x:v>
      </x:c>
      <x:c r="J78" s="10" t="str">
        <x:v>Khoang</x:v>
      </x:c>
      <x:c r="K78" s="10" t="str">
        <x:v>P0</x:v>
      </x:c>
      <x:c r="L78" s="10" t="str">
        <x:v>Đề xuất T+; nguồn tham khảo khái niệm</x:v>
      </x:c>
      <x:c r="M78" s="10" t="str">
        <x:v>N09 N05</x:v>
      </x:c>
      <x:c r="N78" s="14" t="str">
        <x:v>Chưa chọn</x:v>
      </x:c>
      <x:c r="O78" s="14"/>
      <x:c r="P78" s="14"/>
    </x:row>
    <x:row r="79" ht="42" customHeight="1">
      <x:c r="A79" s="13" t="str">
        <x:v>DIV-06</x:v>
      </x:c>
      <x:c r="B79" s="11" t="str">
        <x:v>Chia khoang và đợt</x:v>
      </x:c>
      <x:c r="C79" s="11" t="str">
        <x:v>fixed_shelf_count</x:v>
      </x:c>
      <x:c r="D79" s="11" t="str">
        <x:v>Số đợt cố định</x:v>
      </x:c>
      <x:c r="E79" s="11" t="str">
        <x:v>Số nguyên</x:v>
      </x:c>
      <x:c r="F79" s="11" t="str">
        <x:v>đợt</x:v>
      </x:c>
      <x:c r="G79" s="16" t="n">
        <x:v>0</x:v>
      </x:c>
      <x:c r="H79" s="11" t="str">
        <x:v>Không âm</x:v>
      </x:c>
      <x:c r="I79" s="11" t="str">
        <x:v>Sinh liên kết và chia cao khoang</x:v>
      </x:c>
      <x:c r="J79" s="11" t="str">
        <x:v>Khoang</x:v>
      </x:c>
      <x:c r="K79" s="11" t="str">
        <x:v>P0</x:v>
      </x:c>
      <x:c r="L79" s="11" t="str">
        <x:v>Đề xuất T+; nguồn tham khảo khái niệm</x:v>
      </x:c>
      <x:c r="M79" s="11" t="str">
        <x:v>N09 N05</x:v>
      </x:c>
      <x:c r="N79" s="14" t="str">
        <x:v>Chưa chọn</x:v>
      </x:c>
      <x:c r="O79" s="14"/>
      <x:c r="P79" s="14"/>
    </x:row>
    <x:row r="80" ht="42" customHeight="1">
      <x:c r="A80" s="12" t="str">
        <x:v>DIV-07</x:v>
      </x:c>
      <x:c r="B80" s="10" t="str">
        <x:v>Chia khoang và đợt</x:v>
      </x:c>
      <x:c r="C80" s="10" t="str">
        <x:v>adjustable_shelf_count</x:v>
      </x:c>
      <x:c r="D80" s="10" t="str">
        <x:v>Số đợt di động</x:v>
      </x:c>
      <x:c r="E80" s="10" t="str">
        <x:v>Số nguyên</x:v>
      </x:c>
      <x:c r="F80" s="10" t="str">
        <x:v>đợt</x:v>
      </x:c>
      <x:c r="G80" s="15" t="n">
        <x:v>0</x:v>
      </x:c>
      <x:c r="H80" s="10" t="str">
        <x:v>Không âm</x:v>
      </x:c>
      <x:c r="I80" s="10" t="str">
        <x:v>Sinh chốt đỡ nếu đã có profile</x:v>
      </x:c>
      <x:c r="J80" s="10" t="str">
        <x:v>Khoang</x:v>
      </x:c>
      <x:c r="K80" s="10" t="str">
        <x:v>P0</x:v>
      </x:c>
      <x:c r="L80" s="10" t="str">
        <x:v>Đề xuất T+; nguồn tham khảo khái niệm</x:v>
      </x:c>
      <x:c r="M80" s="10" t="str">
        <x:v>N09 N05</x:v>
      </x:c>
      <x:c r="N80" s="14" t="str">
        <x:v>Chưa chọn</x:v>
      </x:c>
      <x:c r="O80" s="14"/>
      <x:c r="P80" s="14"/>
    </x:row>
    <x:row r="81" ht="42" customHeight="1">
      <x:c r="A81" s="13" t="str">
        <x:v>DIV-08</x:v>
      </x:c>
      <x:c r="B81" s="11" t="str">
        <x:v>Chia khoang và đợt</x:v>
      </x:c>
      <x:c r="C81" s="11" t="str">
        <x:v>shelf_front_setback</x:v>
      </x:c>
      <x:c r="D81" s="11" t="str">
        <x:v>Lùi đợt so với mép trước</x:v>
      </x:c>
      <x:c r="E81" s="11" t="str">
        <x:v>Số</x:v>
      </x:c>
      <x:c r="F81" s="11" t="str">
        <x:v>mm</x:v>
      </x:c>
      <x:c r="G81" s="16"/>
      <x:c r="H81" s="11" t="str">
        <x:v>Không âm</x:v>
      </x:c>
      <x:c r="I81" s="11" t="str">
        <x:v>Tránh cánh và phụ kiện</x:v>
      </x:c>
      <x:c r="J81" s="11" t="str">
        <x:v>Khoang</x:v>
      </x:c>
      <x:c r="K81" s="11" t="str">
        <x:v>P0</x:v>
      </x:c>
      <x:c r="L81" s="11" t="str">
        <x:v>Đề xuất T+; nguồn tham khảo khái niệm</x:v>
      </x:c>
      <x:c r="M81" s="11" t="str">
        <x:v>N09 N05</x:v>
      </x:c>
      <x:c r="N81" s="14" t="str">
        <x:v>Chưa chọn</x:v>
      </x:c>
      <x:c r="O81" s="14"/>
      <x:c r="P81" s="14"/>
    </x:row>
    <x:row r="82" ht="42" customHeight="1">
      <x:c r="A82" s="12" t="str">
        <x:v>DIV-09</x:v>
      </x:c>
      <x:c r="B82" s="10" t="str">
        <x:v>Chia khoang và đợt</x:v>
      </x:c>
      <x:c r="C82" s="10" t="str">
        <x:v>shelf_fit_clearance</x:v>
      </x:c>
      <x:c r="D82" s="10" t="str">
        <x:v>Hở lắp đợt mỗi bên</x:v>
      </x:c>
      <x:c r="E82" s="10" t="str">
        <x:v>Số</x:v>
      </x:c>
      <x:c r="F82" s="10" t="str">
        <x:v>mm</x:v>
      </x:c>
      <x:c r="G82" s="15"/>
      <x:c r="H82" s="10" t="str">
        <x:v>Theo xưởng</x:v>
      </x:c>
      <x:c r="I82" s="10" t="str">
        <x:v>Tách khỏi khe cánh</x:v>
      </x:c>
      <x:c r="J82" s="10" t="str">
        <x:v>Khoang</x:v>
      </x:c>
      <x:c r="K82" s="10" t="str">
        <x:v>P0</x:v>
      </x:c>
      <x:c r="L82" s="10" t="str">
        <x:v>Đề xuất T+; nguồn tham khảo khái niệm</x:v>
      </x:c>
      <x:c r="M82" s="10" t="str">
        <x:v>N09 N05</x:v>
      </x:c>
      <x:c r="N82" s="14" t="str">
        <x:v>Chưa chọn</x:v>
      </x:c>
      <x:c r="O82" s="14"/>
      <x:c r="P82" s="14"/>
    </x:row>
    <x:row r="83" ht="42" customHeight="1">
      <x:c r="A83" s="13" t="str">
        <x:v>DIV-10</x:v>
      </x:c>
      <x:c r="B83" s="11" t="str">
        <x:v>Chia khoang và đợt</x:v>
      </x:c>
      <x:c r="C83" s="11" t="str">
        <x:v>shelf_levels</x:v>
      </x:c>
      <x:c r="D83" s="11" t="str">
        <x:v>Cao độ đợt</x:v>
      </x:c>
      <x:c r="E83" s="11" t="str">
        <x:v>Mảng</x:v>
      </x:c>
      <x:c r="F83" s="11" t="str">
        <x:v>mm</x:v>
      </x:c>
      <x:c r="G83" s="16"/>
      <x:c r="H83" s="11" t="str">
        <x:v>Trong khoang</x:v>
      </x:c>
      <x:c r="I83" s="11" t="str">
        <x:v>Không cắt ngang hộp kéo</x:v>
      </x:c>
      <x:c r="J83" s="11" t="str">
        <x:v>Khoang</x:v>
      </x:c>
      <x:c r="K83" s="11" t="str">
        <x:v>P0</x:v>
      </x:c>
      <x:c r="L83" s="11" t="str">
        <x:v>Đề xuất T+; nguồn tham khảo khái niệm</x:v>
      </x:c>
      <x:c r="M83" s="11" t="str">
        <x:v>N09 N05</x:v>
      </x:c>
      <x:c r="N83" s="14" t="str">
        <x:v>Chưa chọn</x:v>
      </x:c>
      <x:c r="O83" s="14"/>
      <x:c r="P83" s="14"/>
    </x:row>
    <x:row r="84" ht="42" customHeight="1">
      <x:c r="A84" s="12" t="str">
        <x:v>DIV-11</x:v>
      </x:c>
      <x:c r="B84" s="10" t="str">
        <x:v>Chia khoang và đợt</x:v>
      </x:c>
      <x:c r="C84" s="10" t="str">
        <x:v>shelf_span_limit</x:v>
      </x:c>
      <x:c r="D84" s="10" t="str">
        <x:v>Nhịp đợt cảnh báo</x:v>
      </x:c>
      <x:c r="E84" s="10" t="str">
        <x:v>Số</x:v>
      </x:c>
      <x:c r="F84" s="10" t="str">
        <x:v>mm</x:v>
      </x:c>
      <x:c r="G84" s="15"/>
      <x:c r="H84" s="10" t="str">
        <x:v>Theo vật liệu và tải</x:v>
      </x:c>
      <x:c r="I84" s="10" t="str">
        <x:v>Chỉ cảnh báo không chứng nhận bền</x:v>
      </x:c>
      <x:c r="J84" s="10" t="str">
        <x:v>Khoang</x:v>
      </x:c>
      <x:c r="K84" s="10" t="str">
        <x:v>P0</x:v>
      </x:c>
      <x:c r="L84" s="10" t="str">
        <x:v>Đề xuất T+; nguồn tham khảo khái niệm</x:v>
      </x:c>
      <x:c r="M84" s="10" t="str">
        <x:v>N09 N05</x:v>
      </x:c>
      <x:c r="N84" s="14" t="str">
        <x:v>Chưa chọn</x:v>
      </x:c>
      <x:c r="O84" s="14"/>
      <x:c r="P84" s="14"/>
    </x:row>
    <x:row r="85" ht="42" customHeight="1">
      <x:c r="A85" s="13" t="str">
        <x:v>DIV-12</x:v>
      </x:c>
      <x:c r="B85" s="11" t="str">
        <x:v>Chia khoang và đợt</x:v>
      </x:c>
      <x:c r="C85" s="11" t="str">
        <x:v>shelf_load_design</x:v>
      </x:c>
      <x:c r="D85" s="11" t="str">
        <x:v>Tải sử dụng dự kiến</x:v>
      </x:c>
      <x:c r="E85" s="11" t="str">
        <x:v>Số</x:v>
      </x:c>
      <x:c r="F85" s="11" t="str">
        <x:v>kg</x:v>
      </x:c>
      <x:c r="G85" s="16"/>
      <x:c r="H85" s="11" t="str">
        <x:v>Không âm</x:v>
      </x:c>
      <x:c r="I85" s="11" t="str">
        <x:v>Cần xác nhận kết cấu khi tải lớn</x:v>
      </x:c>
      <x:c r="J85" s="11" t="str">
        <x:v>Khoang</x:v>
      </x:c>
      <x:c r="K85" s="11" t="str">
        <x:v>P0</x:v>
      </x:c>
      <x:c r="L85" s="11" t="str">
        <x:v>Đề xuất T+; nguồn tham khảo khái niệm</x:v>
      </x:c>
      <x:c r="M85" s="11" t="str">
        <x:v>N09 N05</x:v>
      </x:c>
      <x:c r="N85" s="14" t="str">
        <x:v>Chưa chọn</x:v>
      </x:c>
      <x:c r="O85" s="14"/>
      <x:c r="P85" s="14"/>
    </x:row>
    <x:row r="86" ht="42" customHeight="1">
      <x:c r="A86" s="12" t="str">
        <x:v>DOOR-01</x:v>
      </x:c>
      <x:c r="B86" s="10" t="str">
        <x:v>Cánh và mặt ngăn kéo</x:v>
      </x:c>
      <x:c r="C86" s="10" t="str">
        <x:v>front_type</x:v>
      </x:c>
      <x:c r="D86" s="10" t="str">
        <x:v>Loại mặt trước</x:v>
      </x:c>
      <x:c r="E86" s="10" t="str">
        <x:v>Danh sách</x:v>
      </x:c>
      <x:c r="F86" s="10" t="str"/>
      <x:c r="G86" s="15" t="str">
        <x:v>Slab</x:v>
      </x:c>
      <x:c r="H86" s="10" t="str">
        <x:v>Slab; Frame; Glass_frame; Profiled</x:v>
      </x:c>
      <x:c r="I86" s="10" t="str">
        <x:v>Chọn bộ quy tắc tương ứng</x:v>
      </x:c>
      <x:c r="J86" s="10" t="str">
        <x:v>Cánh</x:v>
      </x:c>
      <x:c r="K86" s="10" t="str">
        <x:v>P0</x:v>
      </x:c>
      <x:c r="L86" s="10" t="str">
        <x:v>Đề xuất T+; nguồn tham khảo khái niệm</x:v>
      </x:c>
      <x:c r="M86" s="10" t="str">
        <x:v>N07 N22 N23</x:v>
      </x:c>
      <x:c r="N86" s="14" t="str">
        <x:v>Chưa chọn</x:v>
      </x:c>
      <x:c r="O86" s="14"/>
      <x:c r="P86" s="14"/>
    </x:row>
    <x:row r="87" ht="42" customHeight="1">
      <x:c r="A87" s="13" t="str">
        <x:v>DOOR-02</x:v>
      </x:c>
      <x:c r="B87" s="11" t="str">
        <x:v>Cánh và mặt ngăn kéo</x:v>
      </x:c>
      <x:c r="C87" s="11" t="str">
        <x:v>front_count</x:v>
      </x:c>
      <x:c r="D87" s="11" t="str">
        <x:v>Số cánh</x:v>
      </x:c>
      <x:c r="E87" s="11" t="str">
        <x:v>Số nguyên</x:v>
      </x:c>
      <x:c r="F87" s="11" t="str">
        <x:v>cánh</x:v>
      </x:c>
      <x:c r="G87" s="16" t="n">
        <x:v>1</x:v>
      </x:c>
      <x:c r="H87" s="11" t="str">
        <x:v>Không âm</x:v>
      </x:c>
      <x:c r="I87" s="11" t="str">
        <x:v>Kiểm rộng mỗi cánh</x:v>
      </x:c>
      <x:c r="J87" s="11" t="str">
        <x:v>Cánh</x:v>
      </x:c>
      <x:c r="K87" s="11" t="str">
        <x:v>P0</x:v>
      </x:c>
      <x:c r="L87" s="11" t="str">
        <x:v>Đề xuất T+; nguồn tham khảo khái niệm</x:v>
      </x:c>
      <x:c r="M87" s="11" t="str">
        <x:v>N07 N22 N23</x:v>
      </x:c>
      <x:c r="N87" s="14" t="str">
        <x:v>Chưa chọn</x:v>
      </x:c>
      <x:c r="O87" s="14"/>
      <x:c r="P87" s="14"/>
    </x:row>
    <x:row r="88" ht="42" customHeight="1">
      <x:c r="A88" s="12" t="str">
        <x:v>DOOR-03</x:v>
      </x:c>
      <x:c r="B88" s="10" t="str">
        <x:v>Cánh và mặt ngăn kéo</x:v>
      </x:c>
      <x:c r="C88" s="10" t="str">
        <x:v>front_mount</x:v>
      </x:c>
      <x:c r="D88" s="10" t="str">
        <x:v>Kiểu phủ cánh</x:v>
      </x:c>
      <x:c r="E88" s="10" t="str">
        <x:v>Danh sách</x:v>
      </x:c>
      <x:c r="F88" s="10" t="str"/>
      <x:c r="G88" s="15" t="str">
        <x:v>Overlay</x:v>
      </x:c>
      <x:c r="H88" s="10" t="str">
        <x:v>Overlay; Half_overlay; Inset</x:v>
      </x:c>
      <x:c r="I88" s="10" t="str">
        <x:v>Tính theo opening và phần phủ</x:v>
      </x:c>
      <x:c r="J88" s="10" t="str">
        <x:v>Cánh</x:v>
      </x:c>
      <x:c r="K88" s="10" t="str">
        <x:v>P0</x:v>
      </x:c>
      <x:c r="L88" s="10" t="str">
        <x:v>Đề xuất T+; nguồn tham khảo khái niệm</x:v>
      </x:c>
      <x:c r="M88" s="10" t="str">
        <x:v>N07 N22 N23</x:v>
      </x:c>
      <x:c r="N88" s="14" t="str">
        <x:v>Chưa chọn</x:v>
      </x:c>
      <x:c r="O88" s="14"/>
      <x:c r="P88" s="14"/>
    </x:row>
    <x:row r="89" ht="42" customHeight="1">
      <x:c r="A89" s="13" t="str">
        <x:v>DOOR-04</x:v>
      </x:c>
      <x:c r="B89" s="11" t="str">
        <x:v>Cánh và mặt ngăn kéo</x:v>
      </x:c>
      <x:c r="C89" s="11" t="str">
        <x:v>front_thickness</x:v>
      </x:c>
      <x:c r="D89" s="11" t="str">
        <x:v>Dày cánh</x:v>
      </x:c>
      <x:c r="E89" s="11" t="str">
        <x:v>Số</x:v>
      </x:c>
      <x:c r="F89" s="11" t="str">
        <x:v>mm</x:v>
      </x:c>
      <x:c r="G89" s="16"/>
      <x:c r="H89" s="11" t="str">
        <x:v>Theo vật liệu</x:v>
      </x:c>
      <x:c r="I89" s="11" t="str">
        <x:v>Ràng buộc với bản lề</x:v>
      </x:c>
      <x:c r="J89" s="11" t="str">
        <x:v>Cánh</x:v>
      </x:c>
      <x:c r="K89" s="11" t="str">
        <x:v>P0</x:v>
      </x:c>
      <x:c r="L89" s="11" t="str">
        <x:v>Đề xuất T+; nguồn tham khảo khái niệm</x:v>
      </x:c>
      <x:c r="M89" s="11" t="str">
        <x:v>N07 N22 N23</x:v>
      </x:c>
      <x:c r="N89" s="14" t="str">
        <x:v>Chưa chọn</x:v>
      </x:c>
      <x:c r="O89" s="14"/>
      <x:c r="P89" s="14"/>
    </x:row>
    <x:row r="90" ht="42" customHeight="1">
      <x:c r="A90" s="12" t="str">
        <x:v>DOOR-05</x:v>
      </x:c>
      <x:c r="B90" s="10" t="str">
        <x:v>Cánh và mặt ngăn kéo</x:v>
      </x:c>
      <x:c r="C90" s="10" t="str">
        <x:v>front_gap_left</x:v>
      </x:c>
      <x:c r="D90" s="10" t="str">
        <x:v>Khe trái</x:v>
      </x:c>
      <x:c r="E90" s="10" t="str">
        <x:v>Số</x:v>
      </x:c>
      <x:c r="F90" s="10" t="str">
        <x:v>mm</x:v>
      </x:c>
      <x:c r="G90" s="15"/>
      <x:c r="H90" s="10" t="str">
        <x:v>Theo thiết kế và bản lề</x:v>
      </x:c>
      <x:c r="I90" s="10" t="str">
        <x:v>Không gán số chung cho mọi hệ</x:v>
      </x:c>
      <x:c r="J90" s="10" t="str">
        <x:v>Cánh</x:v>
      </x:c>
      <x:c r="K90" s="10" t="str">
        <x:v>P0</x:v>
      </x:c>
      <x:c r="L90" s="10" t="str">
        <x:v>Đề xuất T+; nguồn tham khảo khái niệm</x:v>
      </x:c>
      <x:c r="M90" s="10" t="str">
        <x:v>N07 N22 N23</x:v>
      </x:c>
      <x:c r="N90" s="14" t="str">
        <x:v>Chưa chọn</x:v>
      </x:c>
      <x:c r="O90" s="14"/>
      <x:c r="P90" s="14"/>
    </x:row>
    <x:row r="91" ht="42" customHeight="1">
      <x:c r="A91" s="13" t="str">
        <x:v>DOOR-06</x:v>
      </x:c>
      <x:c r="B91" s="11" t="str">
        <x:v>Cánh và mặt ngăn kéo</x:v>
      </x:c>
      <x:c r="C91" s="11" t="str">
        <x:v>front_gap_right</x:v>
      </x:c>
      <x:c r="D91" s="11" t="str">
        <x:v>Khe phải</x:v>
      </x:c>
      <x:c r="E91" s="11" t="str">
        <x:v>Số</x:v>
      </x:c>
      <x:c r="F91" s="11" t="str">
        <x:v>mm</x:v>
      </x:c>
      <x:c r="G91" s="16"/>
      <x:c r="H91" s="11" t="str">
        <x:v>Theo thiết kế và bản lề</x:v>
      </x:c>
      <x:c r="I91" s="11" t="str">
        <x:v>Kiểm mở cạnh tường</x:v>
      </x:c>
      <x:c r="J91" s="11" t="str">
        <x:v>Cánh</x:v>
      </x:c>
      <x:c r="K91" s="11" t="str">
        <x:v>P0</x:v>
      </x:c>
      <x:c r="L91" s="11" t="str">
        <x:v>Đề xuất T+; nguồn tham khảo khái niệm</x:v>
      </x:c>
      <x:c r="M91" s="11" t="str">
        <x:v>N07 N22 N23</x:v>
      </x:c>
      <x:c r="N91" s="14" t="str">
        <x:v>Chưa chọn</x:v>
      </x:c>
      <x:c r="O91" s="14"/>
      <x:c r="P91" s="14"/>
    </x:row>
    <x:row r="92" ht="42" customHeight="1">
      <x:c r="A92" s="12" t="str">
        <x:v>DOOR-07</x:v>
      </x:c>
      <x:c r="B92" s="10" t="str">
        <x:v>Cánh và mặt ngăn kéo</x:v>
      </x:c>
      <x:c r="C92" s="10" t="str">
        <x:v>front_gap_top</x:v>
      </x:c>
      <x:c r="D92" s="10" t="str">
        <x:v>Khe trên</x:v>
      </x:c>
      <x:c r="E92" s="10" t="str">
        <x:v>Số</x:v>
      </x:c>
      <x:c r="F92" s="10" t="str">
        <x:v>mm</x:v>
      </x:c>
      <x:c r="G92" s="15"/>
      <x:c r="H92" s="10" t="str">
        <x:v>Không âm</x:v>
      </x:c>
      <x:c r="I92" s="10" t="str">
        <x:v>Bao gồm điều kiện tay nắm</x:v>
      </x:c>
      <x:c r="J92" s="10" t="str">
        <x:v>Cánh</x:v>
      </x:c>
      <x:c r="K92" s="10" t="str">
        <x:v>P0</x:v>
      </x:c>
      <x:c r="L92" s="10" t="str">
        <x:v>Đề xuất T+; nguồn tham khảo khái niệm</x:v>
      </x:c>
      <x:c r="M92" s="10" t="str">
        <x:v>N07 N22 N23</x:v>
      </x:c>
      <x:c r="N92" s="14" t="str">
        <x:v>Chưa chọn</x:v>
      </x:c>
      <x:c r="O92" s="14"/>
      <x:c r="P92" s="14"/>
    </x:row>
    <x:row r="93" ht="42" customHeight="1">
      <x:c r="A93" s="13" t="str">
        <x:v>DOOR-08</x:v>
      </x:c>
      <x:c r="B93" s="11" t="str">
        <x:v>Cánh và mặt ngăn kéo</x:v>
      </x:c>
      <x:c r="C93" s="11" t="str">
        <x:v>front_gap_bottom</x:v>
      </x:c>
      <x:c r="D93" s="11" t="str">
        <x:v>Khe dưới</x:v>
      </x:c>
      <x:c r="E93" s="11" t="str">
        <x:v>Số</x:v>
      </x:c>
      <x:c r="F93" s="11" t="str">
        <x:v>mm</x:v>
      </x:c>
      <x:c r="G93" s="16"/>
      <x:c r="H93" s="11" t="str">
        <x:v>Không âm</x:v>
      </x:c>
      <x:c r="I93" s="11" t="str">
        <x:v>Kiểm chân và sàn</x:v>
      </x:c>
      <x:c r="J93" s="11" t="str">
        <x:v>Cánh</x:v>
      </x:c>
      <x:c r="K93" s="11" t="str">
        <x:v>P0</x:v>
      </x:c>
      <x:c r="L93" s="11" t="str">
        <x:v>Đề xuất T+; nguồn tham khảo khái niệm</x:v>
      </x:c>
      <x:c r="M93" s="11" t="str">
        <x:v>N07 N22 N23</x:v>
      </x:c>
      <x:c r="N93" s="14" t="str">
        <x:v>Chưa chọn</x:v>
      </x:c>
      <x:c r="O93" s="14"/>
      <x:c r="P93" s="14"/>
    </x:row>
    <x:row r="94" ht="42" customHeight="1">
      <x:c r="A94" s="12" t="str">
        <x:v>DOOR-09</x:v>
      </x:c>
      <x:c r="B94" s="10" t="str">
        <x:v>Cánh và mặt ngăn kéo</x:v>
      </x:c>
      <x:c r="C94" s="10" t="str">
        <x:v>front_gap_between</x:v>
      </x:c>
      <x:c r="D94" s="10" t="str">
        <x:v>Khe giữa cánh</x:v>
      </x:c>
      <x:c r="E94" s="10" t="str">
        <x:v>Số</x:v>
      </x:c>
      <x:c r="F94" s="10" t="str">
        <x:v>mm</x:v>
      </x:c>
      <x:c r="G94" s="15"/>
      <x:c r="H94" s="10" t="str">
        <x:v>Theo phụ kiện</x:v>
      </x:c>
      <x:c r="I94" s="10" t="str">
        <x:v>Tính đủ số khe</x:v>
      </x:c>
      <x:c r="J94" s="10" t="str">
        <x:v>Cánh</x:v>
      </x:c>
      <x:c r="K94" s="10" t="str">
        <x:v>P0</x:v>
      </x:c>
      <x:c r="L94" s="10" t="str">
        <x:v>Đề xuất T+; nguồn tham khảo khái niệm</x:v>
      </x:c>
      <x:c r="M94" s="10" t="str">
        <x:v>N07 N22 N23</x:v>
      </x:c>
      <x:c r="N94" s="14" t="str">
        <x:v>Chưa chọn</x:v>
      </x:c>
      <x:c r="O94" s="14"/>
      <x:c r="P94" s="14"/>
    </x:row>
    <x:row r="95" ht="42" customHeight="1">
      <x:c r="A95" s="13" t="str">
        <x:v>DOOR-10</x:v>
      </x:c>
      <x:c r="B95" s="11" t="str">
        <x:v>Cánh và mặt ngăn kéo</x:v>
      </x:c>
      <x:c r="C95" s="11" t="str">
        <x:v>overlay_left</x:v>
      </x:c>
      <x:c r="D95" s="11" t="str">
        <x:v>Phủ trái lên hồi</x:v>
      </x:c>
      <x:c r="E95" s="11" t="str">
        <x:v>Số</x:v>
      </x:c>
      <x:c r="F95" s="11" t="str">
        <x:v>mm</x:v>
      </x:c>
      <x:c r="G95" s="16"/>
      <x:c r="H95" s="11" t="str">
        <x:v>Theo bản lề và đế</x:v>
      </x:c>
      <x:c r="I95" s="11" t="str">
        <x:v>Không suy chỉ từ tên full overlay</x:v>
      </x:c>
      <x:c r="J95" s="11" t="str">
        <x:v>Cánh</x:v>
      </x:c>
      <x:c r="K95" s="11" t="str">
        <x:v>P0</x:v>
      </x:c>
      <x:c r="L95" s="11" t="str">
        <x:v>Đề xuất T+; nguồn tham khảo khái niệm</x:v>
      </x:c>
      <x:c r="M95" s="11" t="str">
        <x:v>N07 N22 N23</x:v>
      </x:c>
      <x:c r="N95" s="14" t="str">
        <x:v>Chưa chọn</x:v>
      </x:c>
      <x:c r="O95" s="14"/>
      <x:c r="P95" s="14"/>
    </x:row>
    <x:row r="96" ht="42" customHeight="1">
      <x:c r="A96" s="12" t="str">
        <x:v>DOOR-11</x:v>
      </x:c>
      <x:c r="B96" s="10" t="str">
        <x:v>Cánh và mặt ngăn kéo</x:v>
      </x:c>
      <x:c r="C96" s="10" t="str">
        <x:v>overlay_right</x:v>
      </x:c>
      <x:c r="D96" s="10" t="str">
        <x:v>Phủ phải lên hồi</x:v>
      </x:c>
      <x:c r="E96" s="10" t="str">
        <x:v>Số</x:v>
      </x:c>
      <x:c r="F96" s="10" t="str">
        <x:v>mm</x:v>
      </x:c>
      <x:c r="G96" s="15"/>
      <x:c r="H96" s="10" t="str">
        <x:v>Theo bản lề và đế</x:v>
      </x:c>
      <x:c r="I96" s="10" t="str">
        <x:v>Tủ chung vách cần kiểm hai cánh</x:v>
      </x:c>
      <x:c r="J96" s="10" t="str">
        <x:v>Cánh</x:v>
      </x:c>
      <x:c r="K96" s="10" t="str">
        <x:v>P0</x:v>
      </x:c>
      <x:c r="L96" s="10" t="str">
        <x:v>Đề xuất T+; nguồn tham khảo khái niệm</x:v>
      </x:c>
      <x:c r="M96" s="10" t="str">
        <x:v>N07 N22 N23</x:v>
      </x:c>
      <x:c r="N96" s="14" t="str">
        <x:v>Chưa chọn</x:v>
      </x:c>
      <x:c r="O96" s="14"/>
      <x:c r="P96" s="14"/>
    </x:row>
    <x:row r="97" ht="42" customHeight="1">
      <x:c r="A97" s="13" t="str">
        <x:v>DOOR-12</x:v>
      </x:c>
      <x:c r="B97" s="11" t="str">
        <x:v>Cánh và mặt ngăn kéo</x:v>
      </x:c>
      <x:c r="C97" s="11" t="str">
        <x:v>opening_side</x:v>
      </x:c>
      <x:c r="D97" s="11" t="str">
        <x:v>Hướng mở</x:v>
      </x:c>
      <x:c r="E97" s="11" t="str">
        <x:v>Danh sách</x:v>
      </x:c>
      <x:c r="F97" s="11" t="str"/>
      <x:c r="G97" s="16" t="str">
        <x:v>Left</x:v>
      </x:c>
      <x:c r="H97" s="11" t="str">
        <x:v>Left; Right; Up; Down; Fixed</x:v>
      </x:c>
      <x:c r="I97" s="11" t="str">
        <x:v>Quy định theo người đứng trước tủ</x:v>
      </x:c>
      <x:c r="J97" s="11" t="str">
        <x:v>Cánh</x:v>
      </x:c>
      <x:c r="K97" s="11" t="str">
        <x:v>P0</x:v>
      </x:c>
      <x:c r="L97" s="11" t="str">
        <x:v>Đề xuất T+; nguồn tham khảo khái niệm</x:v>
      </x:c>
      <x:c r="M97" s="11" t="str">
        <x:v>N07 N22 N23</x:v>
      </x:c>
      <x:c r="N97" s="14" t="str">
        <x:v>Chưa chọn</x:v>
      </x:c>
      <x:c r="O97" s="14"/>
      <x:c r="P97" s="14"/>
    </x:row>
    <x:row r="98" ht="42" customHeight="1">
      <x:c r="A98" s="12" t="str">
        <x:v>DOOR-13</x:v>
      </x:c>
      <x:c r="B98" s="10" t="str">
        <x:v>Cánh và mặt ngăn kéo</x:v>
      </x:c>
      <x:c r="C98" s="10" t="str">
        <x:v>opening_angle</x:v>
      </x:c>
      <x:c r="D98" s="10" t="str">
        <x:v>Góc mở yêu cầu</x:v>
      </x:c>
      <x:c r="E98" s="10" t="str">
        <x:v>Số</x:v>
      </x:c>
      <x:c r="F98" s="10" t="str">
        <x:v>độ</x:v>
      </x:c>
      <x:c r="G98" s="15"/>
      <x:c r="H98" s="10" t="str">
        <x:v>Theo mã bản lề</x:v>
      </x:c>
      <x:c r="I98" s="10" t="str">
        <x:v>Kiểm bao chuyển động</x:v>
      </x:c>
      <x:c r="J98" s="10" t="str">
        <x:v>Cánh</x:v>
      </x:c>
      <x:c r="K98" s="10" t="str">
        <x:v>P0</x:v>
      </x:c>
      <x:c r="L98" s="10" t="str">
        <x:v>Đề xuất T+; nguồn tham khảo khái niệm</x:v>
      </x:c>
      <x:c r="M98" s="10" t="str">
        <x:v>N07 N22 N23</x:v>
      </x:c>
      <x:c r="N98" s="14" t="str">
        <x:v>Chưa chọn</x:v>
      </x:c>
      <x:c r="O98" s="14"/>
      <x:c r="P98" s="14"/>
    </x:row>
    <x:row r="99" ht="42" customHeight="1">
      <x:c r="A99" s="13" t="str">
        <x:v>DOOR-14</x:v>
      </x:c>
      <x:c r="B99" s="11" t="str">
        <x:v>Cánh và mặt ngăn kéo</x:v>
      </x:c>
      <x:c r="C99" s="11" t="str">
        <x:v>front_bumpout</x:v>
      </x:c>
      <x:c r="D99" s="11" t="str">
        <x:v>Khoảng cánh cách thùng</x:v>
      </x:c>
      <x:c r="E99" s="11" t="str">
        <x:v>Số</x:v>
      </x:c>
      <x:c r="F99" s="11" t="str">
        <x:v>mm</x:v>
      </x:c>
      <x:c r="G99" s="16"/>
      <x:c r="H99" s="11" t="str">
        <x:v>Theo profile</x:v>
      </x:c>
      <x:c r="I99" s="11" t="str">
        <x:v>Tách khỏi inset</x:v>
      </x:c>
      <x:c r="J99" s="11" t="str">
        <x:v>Cánh</x:v>
      </x:c>
      <x:c r="K99" s="11" t="str">
        <x:v>P0</x:v>
      </x:c>
      <x:c r="L99" s="11" t="str">
        <x:v>Đề xuất T+; nguồn tham khảo khái niệm</x:v>
      </x:c>
      <x:c r="M99" s="11" t="str">
        <x:v>N07 N22 N23</x:v>
      </x:c>
      <x:c r="N99" s="14" t="str">
        <x:v>Chưa chọn</x:v>
      </x:c>
      <x:c r="O99" s="14"/>
      <x:c r="P99" s="14"/>
    </x:row>
    <x:row r="100" ht="42" customHeight="1">
      <x:c r="A100" s="12" t="str">
        <x:v>DOOR-15</x:v>
      </x:c>
      <x:c r="B100" s="10" t="str">
        <x:v>Cánh và mặt ngăn kéo</x:v>
      </x:c>
      <x:c r="C100" s="10" t="str">
        <x:v>handleless_gap</x:v>
      </x:c>
      <x:c r="D100" s="10" t="str">
        <x:v>Khe móc tay</x:v>
      </x:c>
      <x:c r="E100" s="10" t="str">
        <x:v>Chuỗi</x:v>
      </x:c>
      <x:c r="F100" s="10" t="str">
        <x:v>mm</x:v>
      </x:c>
      <x:c r="G100" s="15" t="str">
        <x:v>20 đến 25</x:v>
      </x:c>
      <x:c r="H100" s="10" t="str">
        <x:v>Preset cũ cần chốt</x:v>
      </x:c>
      <x:c r="I100" s="10" t="str">
        <x:v>Phối hợp xà chặn cánh</x:v>
      </x:c>
      <x:c r="J100" s="10" t="str">
        <x:v>Cánh</x:v>
      </x:c>
      <x:c r="K100" s="10" t="str">
        <x:v>P0</x:v>
      </x:c>
      <x:c r="L100" s="10" t="str">
        <x:v>Yêu cầu T+ trước đây; cần chốt lại</x:v>
      </x:c>
      <x:c r="M100" s="10" t="str">
        <x:v>N07 N22 N23</x:v>
      </x:c>
      <x:c r="N100" s="14" t="str">
        <x:v>Chưa chọn</x:v>
      </x:c>
      <x:c r="O100" s="14"/>
      <x:c r="P100" s="14"/>
    </x:row>
    <x:row r="101" ht="42" customHeight="1">
      <x:c r="A101" s="13" t="str">
        <x:v>DOOR-16</x:v>
      </x:c>
      <x:c r="B101" s="11" t="str">
        <x:v>Cánh và mặt ngăn kéo</x:v>
      </x:c>
      <x:c r="C101" s="11" t="str">
        <x:v>handle_bevel_angle</x:v>
      </x:c>
      <x:c r="D101" s="11" t="str">
        <x:v>Góc vát tay nắm âm</x:v>
      </x:c>
      <x:c r="E101" s="11" t="str">
        <x:v>Chuỗi</x:v>
      </x:c>
      <x:c r="F101" s="11" t="str">
        <x:v>độ</x:v>
      </x:c>
      <x:c r="G101" s="16" t="str">
        <x:v>45</x:v>
      </x:c>
      <x:c r="H101" s="11" t="str">
        <x:v>Theo chi tiết</x:v>
      </x:c>
      <x:c r="I101" s="11" t="str">
        <x:v>Kiểm dao và mép còn lại</x:v>
      </x:c>
      <x:c r="J101" s="11" t="str">
        <x:v>Cánh</x:v>
      </x:c>
      <x:c r="K101" s="11" t="str">
        <x:v>P0</x:v>
      </x:c>
      <x:c r="L101" s="11" t="str">
        <x:v>Yêu cầu T+ trước đây; cần chốt lại</x:v>
      </x:c>
      <x:c r="M101" s="11" t="str">
        <x:v>N07 N22 N23</x:v>
      </x:c>
      <x:c r="N101" s="14" t="str">
        <x:v>Chưa chọn</x:v>
      </x:c>
      <x:c r="O101" s="14"/>
      <x:c r="P101" s="14"/>
    </x:row>
    <x:row r="102" ht="42" customHeight="1">
      <x:c r="A102" s="12" t="str">
        <x:v>DOOR-17</x:v>
      </x:c>
      <x:c r="B102" s="10" t="str">
        <x:v>Cánh và mặt ngăn kéo</x:v>
      </x:c>
      <x:c r="C102" s="10" t="str">
        <x:v>frame_stile_width</x:v>
      </x:c>
      <x:c r="D102" s="10" t="str">
        <x:v>Rộng khung đứng cánh</x:v>
      </x:c>
      <x:c r="E102" s="10" t="str">
        <x:v>Số</x:v>
      </x:c>
      <x:c r="F102" s="10" t="str">
        <x:v>mm</x:v>
      </x:c>
      <x:c r="G102" s="15"/>
      <x:c r="H102" s="10" t="str">
        <x:v>Theo thiết kế</x:v>
      </x:c>
      <x:c r="I102" s="10" t="str">
        <x:v>Kiểm đủ chỗ chén bản lề</x:v>
      </x:c>
      <x:c r="J102" s="10" t="str">
        <x:v>Cánh</x:v>
      </x:c>
      <x:c r="K102" s="10" t="str">
        <x:v>P0</x:v>
      </x:c>
      <x:c r="L102" s="10" t="str">
        <x:v>Đề xuất T+; nguồn tham khảo khái niệm</x:v>
      </x:c>
      <x:c r="M102" s="10" t="str">
        <x:v>N07 N22 N23</x:v>
      </x:c>
      <x:c r="N102" s="14" t="str">
        <x:v>Chưa chọn</x:v>
      </x:c>
      <x:c r="O102" s="14"/>
      <x:c r="P102" s="14"/>
    </x:row>
    <x:row r="103" ht="42" customHeight="1">
      <x:c r="A103" s="13" t="str">
        <x:v>DOOR-18</x:v>
      </x:c>
      <x:c r="B103" s="11" t="str">
        <x:v>Cánh và mặt ngăn kéo</x:v>
      </x:c>
      <x:c r="C103" s="11" t="str">
        <x:v>frame_rail_width</x:v>
      </x:c>
      <x:c r="D103" s="11" t="str">
        <x:v>Rộng khung ngang cánh</x:v>
      </x:c>
      <x:c r="E103" s="11" t="str">
        <x:v>Số</x:v>
      </x:c>
      <x:c r="F103" s="11" t="str">
        <x:v>mm</x:v>
      </x:c>
      <x:c r="G103" s="16"/>
      <x:c r="H103" s="11" t="str">
        <x:v>Theo thiết kế</x:v>
      </x:c>
      <x:c r="I103" s="11" t="str">
        <x:v>Liên kết với lõi pano</x:v>
      </x:c>
      <x:c r="J103" s="11" t="str">
        <x:v>Cánh</x:v>
      </x:c>
      <x:c r="K103" s="11" t="str">
        <x:v>P0</x:v>
      </x:c>
      <x:c r="L103" s="11" t="str">
        <x:v>Đề xuất T+; nguồn tham khảo khái niệm</x:v>
      </x:c>
      <x:c r="M103" s="11" t="str">
        <x:v>N07 N22 N23</x:v>
      </x:c>
      <x:c r="N103" s="14" t="str">
        <x:v>Chưa chọn</x:v>
      </x:c>
      <x:c r="O103" s="14"/>
      <x:c r="P103" s="14"/>
    </x:row>
    <x:row r="104" ht="42" customHeight="1">
      <x:c r="A104" s="12" t="str">
        <x:v>DRAWER-01</x:v>
      </x:c>
      <x:c r="B104" s="10" t="str">
        <x:v>Hộc ngăn kéo</x:v>
      </x:c>
      <x:c r="C104" s="10" t="str">
        <x:v>drawer_count</x:v>
      </x:c>
      <x:c r="D104" s="10" t="str">
        <x:v>Số hộc</x:v>
      </x:c>
      <x:c r="E104" s="10" t="str">
        <x:v>Số nguyên</x:v>
      </x:c>
      <x:c r="F104" s="10" t="str">
        <x:v>hộc</x:v>
      </x:c>
      <x:c r="G104" s="15" t="n">
        <x:v>1</x:v>
      </x:c>
      <x:c r="H104" s="10" t="str">
        <x:v>Từ 1</x:v>
      </x:c>
      <x:c r="I104" s="10" t="str">
        <x:v>Kiểm chia cao mặt</x:v>
      </x:c>
      <x:c r="J104" s="10" t="str">
        <x:v>Hộc</x:v>
      </x:c>
      <x:c r="K104" s="10" t="str">
        <x:v>P0</x:v>
      </x:c>
      <x:c r="L104" s="10" t="str">
        <x:v>Đề xuất T+; nguồn tham khảo khái niệm</x:v>
      </x:c>
      <x:c r="M104" s="10" t="str">
        <x:v>N20 N21 N07</x:v>
      </x:c>
      <x:c r="N104" s="14" t="str">
        <x:v>Chưa chọn</x:v>
      </x:c>
      <x:c r="O104" s="14"/>
      <x:c r="P104" s="14"/>
    </x:row>
    <x:row r="105" ht="42" customHeight="1">
      <x:c r="A105" s="13" t="str">
        <x:v>DRAWER-02</x:v>
      </x:c>
      <x:c r="B105" s="11" t="str">
        <x:v>Hộc ngăn kéo</x:v>
      </x:c>
      <x:c r="C105" s="11" t="str">
        <x:v>drawer_exposure</x:v>
      </x:c>
      <x:c r="D105" s="11" t="str">
        <x:v>Kiểu hộc</x:v>
      </x:c>
      <x:c r="E105" s="11" t="str">
        <x:v>Danh sách</x:v>
      </x:c>
      <x:c r="F105" s="11" t="str"/>
      <x:c r="G105" s="16" t="str">
        <x:v>Exposed</x:v>
      </x:c>
      <x:c r="H105" s="11" t="str">
        <x:v>Exposed; Inner</x:v>
      </x:c>
      <x:c r="I105" s="11" t="str">
        <x:v>Hộc âm phải kiểm cánh mở</x:v>
      </x:c>
      <x:c r="J105" s="11" t="str">
        <x:v>Hộc</x:v>
      </x:c>
      <x:c r="K105" s="11" t="str">
        <x:v>P0</x:v>
      </x:c>
      <x:c r="L105" s="11" t="str">
        <x:v>Đề xuất T+; nguồn tham khảo khái niệm</x:v>
      </x:c>
      <x:c r="M105" s="11" t="str">
        <x:v>N20 N21 N07</x:v>
      </x:c>
      <x:c r="N105" s="14" t="str">
        <x:v>Chưa chọn</x:v>
      </x:c>
      <x:c r="O105" s="14"/>
      <x:c r="P105" s="14"/>
    </x:row>
    <x:row r="106" ht="42" customHeight="1">
      <x:c r="A106" s="12" t="str">
        <x:v>DRAWER-03</x:v>
      </x:c>
      <x:c r="B106" s="10" t="str">
        <x:v>Hộc ngăn kéo</x:v>
      </x:c>
      <x:c r="C106" s="10" t="str">
        <x:v>drawer_system_id</x:v>
      </x:c>
      <x:c r="D106" s="10" t="str">
        <x:v>Mã hệ ray hoặc hộc</x:v>
      </x:c>
      <x:c r="E106" s="10" t="str">
        <x:v>Tham chiếu</x:v>
      </x:c>
      <x:c r="F106" s="10" t="str"/>
      <x:c r="G106" s="15"/>
      <x:c r="H106" s="10" t="str">
        <x:v>SKU cụ thể</x:v>
      </x:c>
      <x:c r="I106" s="10" t="str">
        <x:v>Không dùng một hệ số trừ cho mọi ray</x:v>
      </x:c>
      <x:c r="J106" s="10" t="str">
        <x:v>Hộc</x:v>
      </x:c>
      <x:c r="K106" s="10" t="str">
        <x:v>P0</x:v>
      </x:c>
      <x:c r="L106" s="10" t="str">
        <x:v>Đề xuất T+; nguồn tham khảo khái niệm</x:v>
      </x:c>
      <x:c r="M106" s="10" t="str">
        <x:v>N20 N21 N07</x:v>
      </x:c>
      <x:c r="N106" s="14" t="str">
        <x:v>Chưa chọn</x:v>
      </x:c>
      <x:c r="O106" s="14"/>
      <x:c r="P106" s="14"/>
    </x:row>
    <x:row r="107" ht="42" customHeight="1">
      <x:c r="A107" s="13" t="str">
        <x:v>DRAWER-04</x:v>
      </x:c>
      <x:c r="B107" s="11" t="str">
        <x:v>Hộc ngăn kéo</x:v>
      </x:c>
      <x:c r="C107" s="11" t="str">
        <x:v>drawer_side_thickness</x:v>
      </x:c>
      <x:c r="D107" s="11" t="str">
        <x:v>Dày hông hộc</x:v>
      </x:c>
      <x:c r="E107" s="11" t="str">
        <x:v>Số</x:v>
      </x:c>
      <x:c r="F107" s="11" t="str">
        <x:v>mm</x:v>
      </x:c>
      <x:c r="G107" s="16"/>
      <x:c r="H107" s="11" t="str">
        <x:v>Theo profile ray</x:v>
      </x:c>
      <x:c r="I107" s="11" t="str">
        <x:v>MOVENTO ví dụ có giới hạn riêng</x:v>
      </x:c>
      <x:c r="J107" s="11" t="str">
        <x:v>Hộc</x:v>
      </x:c>
      <x:c r="K107" s="11" t="str">
        <x:v>P0</x:v>
      </x:c>
      <x:c r="L107" s="11" t="str">
        <x:v>Đề xuất T+; nguồn tham khảo khái niệm</x:v>
      </x:c>
      <x:c r="M107" s="11" t="str">
        <x:v>N20 N21 N07</x:v>
      </x:c>
      <x:c r="N107" s="14" t="str">
        <x:v>Chưa chọn</x:v>
      </x:c>
      <x:c r="O107" s="14"/>
      <x:c r="P107" s="14"/>
    </x:row>
    <x:row r="108" ht="42" customHeight="1">
      <x:c r="A108" s="12" t="str">
        <x:v>DRAWER-05</x:v>
      </x:c>
      <x:c r="B108" s="10" t="str">
        <x:v>Hộc ngăn kéo</x:v>
      </x:c>
      <x:c r="C108" s="10" t="str">
        <x:v>drawer_side_height</x:v>
      </x:c>
      <x:c r="D108" s="10" t="str">
        <x:v>Cao hông hộc</x:v>
      </x:c>
      <x:c r="E108" s="10" t="str">
        <x:v>Số</x:v>
      </x:c>
      <x:c r="F108" s="10" t="str">
        <x:v>mm</x:v>
      </x:c>
      <x:c r="G108" s="15"/>
      <x:c r="H108" s="10" t="str">
        <x:v>Theo thiết kế và profile</x:v>
      </x:c>
      <x:c r="I108" s="10" t="str">
        <x:v>Chừa không gian lấy đồ</x:v>
      </x:c>
      <x:c r="J108" s="10" t="str">
        <x:v>Hộc</x:v>
      </x:c>
      <x:c r="K108" s="10" t="str">
        <x:v>P0</x:v>
      </x:c>
      <x:c r="L108" s="10" t="str">
        <x:v>Đề xuất T+; nguồn tham khảo khái niệm</x:v>
      </x:c>
      <x:c r="M108" s="10" t="str">
        <x:v>N20 N21 N07</x:v>
      </x:c>
      <x:c r="N108" s="14" t="str">
        <x:v>Chưa chọn</x:v>
      </x:c>
      <x:c r="O108" s="14"/>
      <x:c r="P108" s="14"/>
    </x:row>
    <x:row r="109" ht="42" customHeight="1">
      <x:c r="A109" s="13" t="str">
        <x:v>DRAWER-06</x:v>
      </x:c>
      <x:c r="B109" s="11" t="str">
        <x:v>Hộc ngăn kéo</x:v>
      </x:c>
      <x:c r="C109" s="11" t="str">
        <x:v>drawer_bottom_thickness</x:v>
      </x:c>
      <x:c r="D109" s="11" t="str">
        <x:v>Dày đáy hộc</x:v>
      </x:c>
      <x:c r="E109" s="11" t="str">
        <x:v>Số</x:v>
      </x:c>
      <x:c r="F109" s="11" t="str">
        <x:v>mm</x:v>
      </x:c>
      <x:c r="G109" s="16"/>
      <x:c r="H109" s="11" t="str">
        <x:v>Theo tải và profile</x:v>
      </x:c>
      <x:c r="I109" s="11" t="str">
        <x:v>Kiểm rãnh hoặc đỡ đáy</x:v>
      </x:c>
      <x:c r="J109" s="11" t="str">
        <x:v>Hộc</x:v>
      </x:c>
      <x:c r="K109" s="11" t="str">
        <x:v>P0</x:v>
      </x:c>
      <x:c r="L109" s="11" t="str">
        <x:v>Đề xuất T+; nguồn tham khảo khái niệm</x:v>
      </x:c>
      <x:c r="M109" s="11" t="str">
        <x:v>N20 N21 N07</x:v>
      </x:c>
      <x:c r="N109" s="14" t="str">
        <x:v>Chưa chọn</x:v>
      </x:c>
      <x:c r="O109" s="14"/>
      <x:c r="P109" s="14"/>
    </x:row>
    <x:row r="110" ht="42" customHeight="1">
      <x:c r="A110" s="12" t="str">
        <x:v>DRAWER-07</x:v>
      </x:c>
      <x:c r="B110" s="10" t="str">
        <x:v>Hộc ngăn kéo</x:v>
      </x:c>
      <x:c r="C110" s="10" t="str">
        <x:v>drawer_bottom_mode</x:v>
      </x:c>
      <x:c r="D110" s="10" t="str">
        <x:v>Kiểu đáy hộc</x:v>
      </x:c>
      <x:c r="E110" s="10" t="str">
        <x:v>Danh sách</x:v>
      </x:c>
      <x:c r="F110" s="10" t="str"/>
      <x:c r="G110" s="15" t="str">
        <x:v>Groove</x:v>
      </x:c>
      <x:c r="H110" s="10" t="str">
        <x:v>Groove; Overlay; Rebate</x:v>
      </x:c>
      <x:c r="I110" s="10" t="str">
        <x:v>Mỗi kiểu có công thức riêng</x:v>
      </x:c>
      <x:c r="J110" s="10" t="str">
        <x:v>Hộc</x:v>
      </x:c>
      <x:c r="K110" s="10" t="str">
        <x:v>P0</x:v>
      </x:c>
      <x:c r="L110" s="10" t="str">
        <x:v>Đề xuất T+; nguồn tham khảo khái niệm</x:v>
      </x:c>
      <x:c r="M110" s="10" t="str">
        <x:v>N20 N21 N07</x:v>
      </x:c>
      <x:c r="N110" s="14" t="str">
        <x:v>Chưa chọn</x:v>
      </x:c>
      <x:c r="O110" s="14"/>
      <x:c r="P110" s="14"/>
    </x:row>
    <x:row r="111" ht="42" customHeight="1">
      <x:c r="A111" s="13" t="str">
        <x:v>DRAWER-08</x:v>
      </x:c>
      <x:c r="B111" s="11" t="str">
        <x:v>Hộc ngăn kéo</x:v>
      </x:c>
      <x:c r="C111" s="11" t="str">
        <x:v>drawer_front_back_join</x:v>
      </x:c>
      <x:c r="D111" s="11" t="str">
        <x:v>Liên kết trước sau với hông</x:v>
      </x:c>
      <x:c r="E111" s="11" t="str">
        <x:v>Danh sách</x:v>
      </x:c>
      <x:c r="F111" s="11" t="str"/>
      <x:c r="G111" s="16" t="str">
        <x:v>Diềm phủ lên hông</x:v>
      </x:c>
      <x:c r="H111" s="11" t="str">
        <x:v>Overlay; Between</x:v>
      </x:c>
      <x:c r="I111" s="11" t="str">
        <x:v>Không nhầm diềm với tăng dày</x:v>
      </x:c>
      <x:c r="J111" s="11" t="str">
        <x:v>Hộc</x:v>
      </x:c>
      <x:c r="K111" s="11" t="str">
        <x:v>P0</x:v>
      </x:c>
      <x:c r="L111" s="11" t="str">
        <x:v>Yêu cầu T+ trước đây; cần chốt lại</x:v>
      </x:c>
      <x:c r="M111" s="11" t="str">
        <x:v>N20 N21 N07</x:v>
      </x:c>
      <x:c r="N111" s="14" t="str">
        <x:v>Chưa chọn</x:v>
      </x:c>
      <x:c r="O111" s="14"/>
      <x:c r="P111" s="14"/>
    </x:row>
    <x:row r="112" ht="42" customHeight="1">
      <x:c r="A112" s="12" t="str">
        <x:v>DRAWER-09</x:v>
      </x:c>
      <x:c r="B112" s="10" t="str">
        <x:v>Hộc ngăn kéo</x:v>
      </x:c>
      <x:c r="C112" s="10" t="str">
        <x:v>inner_front_setback</x:v>
      </x:c>
      <x:c r="D112" s="10" t="str">
        <x:v>Lùi mặt hộc âm</x:v>
      </x:c>
      <x:c r="E112" s="10" t="str">
        <x:v>Chuỗi</x:v>
      </x:c>
      <x:c r="F112" s="10" t="str">
        <x:v>mm</x:v>
      </x:c>
      <x:c r="G112" s="15" t="str">
        <x:v>50</x:v>
      </x:c>
      <x:c r="H112" s="10" t="str">
        <x:v>Preset cập nhật cần chốt</x:v>
      </x:c>
      <x:c r="I112" s="10" t="str">
        <x:v>Không mặc định 25 đến 30 nếu đã chọn 50</x:v>
      </x:c>
      <x:c r="J112" s="10" t="str">
        <x:v>Hộc</x:v>
      </x:c>
      <x:c r="K112" s="10" t="str">
        <x:v>P0</x:v>
      </x:c>
      <x:c r="L112" s="10" t="str">
        <x:v>Yêu cầu T+ trước đây; cần chốt lại</x:v>
      </x:c>
      <x:c r="M112" s="10" t="str">
        <x:v>N20 N21 N07</x:v>
      </x:c>
      <x:c r="N112" s="14" t="str">
        <x:v>Chưa chọn</x:v>
      </x:c>
      <x:c r="O112" s="14"/>
      <x:c r="P112" s="14"/>
    </x:row>
    <x:row r="113" ht="42" customHeight="1">
      <x:c r="A113" s="13" t="str">
        <x:v>DRAWER-10</x:v>
      </x:c>
      <x:c r="B113" s="11" t="str">
        <x:v>Hộc ngăn kéo</x:v>
      </x:c>
      <x:c r="C113" s="11" t="str">
        <x:v>inner_side_spacing</x:v>
      </x:c>
      <x:c r="D113" s="11" t="str">
        <x:v>Khoảng hông hộc với hồi</x:v>
      </x:c>
      <x:c r="E113" s="11" t="str">
        <x:v>Chuỗi</x:v>
      </x:c>
      <x:c r="F113" s="11" t="str">
        <x:v>mm</x:v>
      </x:c>
      <x:c r="G113" s="16" t="str">
        <x:v>30 khi ván 20</x:v>
      </x:c>
      <x:c r="H113" s="11" t="str">
        <x:v>Cần xác nhận mốc đo</x:v>
      </x:c>
      <x:c r="I113" s="11" t="str">
        <x:v>Tách spacer khỏi clearance của ray</x:v>
      </x:c>
      <x:c r="J113" s="11" t="str">
        <x:v>Hộc</x:v>
      </x:c>
      <x:c r="K113" s="11" t="str">
        <x:v>P0</x:v>
      </x:c>
      <x:c r="L113" s="11" t="str">
        <x:v>Yêu cầu T+ trước đây; cần chốt lại</x:v>
      </x:c>
      <x:c r="M113" s="11" t="str">
        <x:v>N20 N21 N07</x:v>
      </x:c>
      <x:c r="N113" s="14" t="str">
        <x:v>Chưa chọn</x:v>
      </x:c>
      <x:c r="O113" s="14"/>
      <x:c r="P113" s="14"/>
    </x:row>
    <x:row r="114" ht="42" customHeight="1">
      <x:c r="A114" s="12" t="str">
        <x:v>DRAWER-11</x:v>
      </x:c>
      <x:c r="B114" s="10" t="str">
        <x:v>Hộc ngăn kéo</x:v>
      </x:c>
      <x:c r="C114" s="10" t="str">
        <x:v>inner_fascia_width</x:v>
      </x:c>
      <x:c r="D114" s="10" t="str">
        <x:v>Bề rộng diềm hộc âm</x:v>
      </x:c>
      <x:c r="E114" s="10" t="str">
        <x:v>Chuỗi</x:v>
      </x:c>
      <x:c r="F114" s="10" t="str">
        <x:v>mm</x:v>
      </x:c>
      <x:c r="G114" s="15" t="str">
        <x:v>50</x:v>
      </x:c>
      <x:c r="H114" s="10" t="str">
        <x:v>Preset cũ cần chốt</x:v>
      </x:c>
      <x:c r="I114" s="10" t="str">
        <x:v>Là bề rộng không phải bề dày</x:v>
      </x:c>
      <x:c r="J114" s="10" t="str">
        <x:v>Hộc</x:v>
      </x:c>
      <x:c r="K114" s="10" t="str">
        <x:v>P0</x:v>
      </x:c>
      <x:c r="L114" s="10" t="str">
        <x:v>Yêu cầu T+ trước đây; cần chốt lại</x:v>
      </x:c>
      <x:c r="M114" s="10" t="str">
        <x:v>N20 N21 N07</x:v>
      </x:c>
      <x:c r="N114" s="14" t="str">
        <x:v>Chưa chọn</x:v>
      </x:c>
      <x:c r="O114" s="14"/>
      <x:c r="P114" s="14"/>
    </x:row>
    <x:row r="115" ht="42" customHeight="1">
      <x:c r="A115" s="13" t="str">
        <x:v>DRAWER-12</x:v>
      </x:c>
      <x:c r="B115" s="11" t="str">
        <x:v>Hộc ngăn kéo</x:v>
      </x:c>
      <x:c r="C115" s="11" t="str">
        <x:v>drawer_front_heights</x:v>
      </x:c>
      <x:c r="D115" s="11" t="str">
        <x:v>Danh sách cao mặt hộc</x:v>
      </x:c>
      <x:c r="E115" s="11" t="str">
        <x:v>Mảng</x:v>
      </x:c>
      <x:c r="F115" s="11" t="str">
        <x:v>mm</x:v>
      </x:c>
      <x:c r="G115" s="16"/>
      <x:c r="H115" s="11" t="str">
        <x:v>Số dương</x:v>
      </x:c>
      <x:c r="I115" s="11" t="str">
        <x:v>Tổng cao cộng khe phải khớp</x:v>
      </x:c>
      <x:c r="J115" s="11" t="str">
        <x:v>Hộc</x:v>
      </x:c>
      <x:c r="K115" s="11" t="str">
        <x:v>P0</x:v>
      </x:c>
      <x:c r="L115" s="11" t="str">
        <x:v>Đề xuất T+; nguồn tham khảo khái niệm</x:v>
      </x:c>
      <x:c r="M115" s="11" t="str">
        <x:v>N20 N21 N07</x:v>
      </x:c>
      <x:c r="N115" s="14" t="str">
        <x:v>Chưa chọn</x:v>
      </x:c>
      <x:c r="O115" s="14"/>
      <x:c r="P115" s="14"/>
    </x:row>
    <x:row r="116" ht="42" customHeight="1">
      <x:c r="A116" s="12" t="str">
        <x:v>DRAWER-13</x:v>
      </x:c>
      <x:c r="B116" s="10" t="str">
        <x:v>Hộc ngăn kéo</x:v>
      </x:c>
      <x:c r="C116" s="10" t="str">
        <x:v>drawer_rear_clearance</x:v>
      </x:c>
      <x:c r="D116" s="10" t="str">
        <x:v>Khoảng hở sau hộc</x:v>
      </x:c>
      <x:c r="E116" s="10" t="str">
        <x:v>Số</x:v>
      </x:c>
      <x:c r="F116" s="10" t="str">
        <x:v>mm</x:v>
      </x:c>
      <x:c r="G116" s="15"/>
      <x:c r="H116" s="10" t="str">
        <x:v>Theo ray và hậu</x:v>
      </x:c>
      <x:c r="I116" s="10" t="str">
        <x:v>Kiểm đủ sâu thùng</x:v>
      </x:c>
      <x:c r="J116" s="10" t="str">
        <x:v>Hộc</x:v>
      </x:c>
      <x:c r="K116" s="10" t="str">
        <x:v>P0</x:v>
      </x:c>
      <x:c r="L116" s="10" t="str">
        <x:v>Đề xuất T+; nguồn tham khảo khái niệm</x:v>
      </x:c>
      <x:c r="M116" s="10" t="str">
        <x:v>N20 N21 N07</x:v>
      </x:c>
      <x:c r="N116" s="14" t="str">
        <x:v>Chưa chọn</x:v>
      </x:c>
      <x:c r="O116" s="14"/>
      <x:c r="P116" s="14"/>
    </x:row>
    <x:row r="117" ht="42" customHeight="1">
      <x:c r="A117" s="13" t="str">
        <x:v>DRAWER-14</x:v>
      </x:c>
      <x:c r="B117" s="11" t="str">
        <x:v>Hộc ngăn kéo</x:v>
      </x:c>
      <x:c r="C117" s="11" t="str">
        <x:v>drawer_cutout</x:v>
      </x:c>
      <x:c r="D117" s="11" t="str">
        <x:v>Khoét né siphon</x:v>
      </x:c>
      <x:c r="E117" s="11" t="str">
        <x:v>Hình học</x:v>
      </x:c>
      <x:c r="F117" s="11" t="str"/>
      <x:c r="G117" s="16"/>
      <x:c r="H117" s="11" t="str">
        <x:v>Theo thiết bị</x:v>
      </x:c>
      <x:c r="I117" s="11" t="str">
        <x:v>Giữ nguyên công và biên dạng thực</x:v>
      </x:c>
      <x:c r="J117" s="11" t="str">
        <x:v>Hộc</x:v>
      </x:c>
      <x:c r="K117" s="11" t="str">
        <x:v>P0</x:v>
      </x:c>
      <x:c r="L117" s="11" t="str">
        <x:v>Đề xuất T+; nguồn tham khảo khái niệm</x:v>
      </x:c>
      <x:c r="M117" s="11" t="str">
        <x:v>N20 N21 N07</x:v>
      </x:c>
      <x:c r="N117" s="14" t="str">
        <x:v>Chưa chọn</x:v>
      </x:c>
      <x:c r="O117" s="14"/>
      <x:c r="P117" s="14"/>
    </x:row>
    <x:row r="118" ht="42" customHeight="1">
      <x:c r="A118" s="12" t="str">
        <x:v>DRAWER-15</x:v>
      </x:c>
      <x:c r="B118" s="10" t="str">
        <x:v>Hộc ngăn kéo</x:v>
      </x:c>
      <x:c r="C118" s="10" t="str">
        <x:v>drawer_payload</x:v>
      </x:c>
      <x:c r="D118" s="10" t="str">
        <x:v>Tải chứa dự kiến</x:v>
      </x:c>
      <x:c r="E118" s="10" t="str">
        <x:v>Số</x:v>
      </x:c>
      <x:c r="F118" s="10" t="str">
        <x:v>kg</x:v>
      </x:c>
      <x:c r="G118" s="15"/>
      <x:c r="H118" s="10" t="str">
        <x:v>Không âm</x:v>
      </x:c>
      <x:c r="I118" s="10" t="str">
        <x:v>Tổng tải gồm hộc theo quy định hãng</x:v>
      </x:c>
      <x:c r="J118" s="10" t="str">
        <x:v>Hộc</x:v>
      </x:c>
      <x:c r="K118" s="10" t="str">
        <x:v>P0</x:v>
      </x:c>
      <x:c r="L118" s="10" t="str">
        <x:v>Đề xuất T+; nguồn tham khảo khái niệm</x:v>
      </x:c>
      <x:c r="M118" s="10" t="str">
        <x:v>N20 N21 N07</x:v>
      </x:c>
      <x:c r="N118" s="14" t="str">
        <x:v>Chưa chọn</x:v>
      </x:c>
      <x:c r="O118" s="14"/>
      <x:c r="P118" s="14"/>
    </x:row>
    <x:row r="119" ht="42" customHeight="1">
      <x:c r="A119" s="13" t="str">
        <x:v>DRAWER-16</x:v>
      </x:c>
      <x:c r="B119" s="11" t="str">
        <x:v>Hộc ngăn kéo</x:v>
      </x:c>
      <x:c r="C119" s="11" t="str">
        <x:v>drawer_side_clearance</x:v>
      </x:c>
      <x:c r="D119" s="11" t="str">
        <x:v>Hở ray mỗi bên</x:v>
      </x:c>
      <x:c r="E119" s="11" t="str">
        <x:v>Số</x:v>
      </x:c>
      <x:c r="F119" s="11" t="str">
        <x:v>mm</x:v>
      </x:c>
      <x:c r="G119" s="16"/>
      <x:c r="H119" s="11" t="str">
        <x:v>Theo SKU</x:v>
      </x:c>
      <x:c r="I119" s="11" t="str">
        <x:v>Không luôn bằng 13 mm</x:v>
      </x:c>
      <x:c r="J119" s="11" t="str">
        <x:v>Hộc</x:v>
      </x:c>
      <x:c r="K119" s="11" t="str">
        <x:v>P0</x:v>
      </x:c>
      <x:c r="L119" s="11" t="str">
        <x:v>Đề xuất T+; nguồn tham khảo khái niệm</x:v>
      </x:c>
      <x:c r="M119" s="11" t="str">
        <x:v>N20 N21 N07</x:v>
      </x:c>
      <x:c r="N119" s="14" t="str">
        <x:v>Chưa chọn</x:v>
      </x:c>
      <x:c r="O119" s="14"/>
      <x:c r="P119" s="14"/>
    </x:row>
    <x:row r="120" ht="42" customHeight="1">
      <x:c r="A120" s="12" t="str">
        <x:v>DRAWER-17</x:v>
      </x:c>
      <x:c r="B120" s="10" t="str">
        <x:v>Hộc ngăn kéo</x:v>
      </x:c>
      <x:c r="C120" s="10" t="str">
        <x:v>drawer_bottom_recess</x:v>
      </x:c>
      <x:c r="D120" s="10" t="str">
        <x:v>Lùi đáy từ đáy hông</x:v>
      </x:c>
      <x:c r="E120" s="10" t="str">
        <x:v>Số</x:v>
      </x:c>
      <x:c r="F120" s="10" t="str">
        <x:v>mm</x:v>
      </x:c>
      <x:c r="G120" s="15"/>
      <x:c r="H120" s="10" t="str">
        <x:v>Theo SKU</x:v>
      </x:c>
      <x:c r="I120" s="10" t="str">
        <x:v>Tách khỏi chiều sâu rãnh</x:v>
      </x:c>
      <x:c r="J120" s="10" t="str">
        <x:v>Hộc</x:v>
      </x:c>
      <x:c r="K120" s="10" t="str">
        <x:v>P0</x:v>
      </x:c>
      <x:c r="L120" s="10" t="str">
        <x:v>Đề xuất T+; nguồn tham khảo khái niệm</x:v>
      </x:c>
      <x:c r="M120" s="10" t="str">
        <x:v>N20 N21 N07</x:v>
      </x:c>
      <x:c r="N120" s="14" t="str">
        <x:v>Chưa chọn</x:v>
      </x:c>
      <x:c r="O120" s="14"/>
      <x:c r="P120" s="14"/>
    </x:row>
    <x:row r="121" ht="42" customHeight="1">
      <x:c r="A121" s="13" t="str">
        <x:v>WARD-01</x:v>
      </x:c>
      <x:c r="B121" s="11" t="str">
        <x:v>Tủ áo và module cao</x:v>
      </x:c>
      <x:c r="C121" s="11" t="str">
        <x:v>wardrobe_overall_depth</x:v>
      </x:c>
      <x:c r="D121" s="11" t="str">
        <x:v>Sâu phủ bì tủ áo</x:v>
      </x:c>
      <x:c r="E121" s="11" t="str">
        <x:v>Chuỗi</x:v>
      </x:c>
      <x:c r="F121" s="11" t="str">
        <x:v>mm</x:v>
      </x:c>
      <x:c r="G121" s="16" t="str">
        <x:v>600</x:v>
      </x:c>
      <x:c r="H121" s="11" t="str">
        <x:v>Preset thiết kế</x:v>
      </x:c>
      <x:c r="I121" s="11" t="str">
        <x:v>Kiểm lại cách tính gồm cánh hậu</x:v>
      </x:c>
      <x:c r="J121" s="11" t="str">
        <x:v>Tủ</x:v>
      </x:c>
      <x:c r="K121" s="11" t="str">
        <x:v>P0</x:v>
      </x:c>
      <x:c r="L121" s="11" t="str">
        <x:v>Yêu cầu T+ trước đây; cần chốt lại</x:v>
      </x:c>
      <x:c r="M121" s="11" t="str">
        <x:v>N09 N05</x:v>
      </x:c>
      <x:c r="N121" s="14" t="str">
        <x:v>Chưa chọn</x:v>
      </x:c>
      <x:c r="O121" s="14"/>
      <x:c r="P121" s="14"/>
    </x:row>
    <x:row r="122" ht="42" customHeight="1">
      <x:c r="A122" s="12" t="str">
        <x:v>WARD-02</x:v>
      </x:c>
      <x:c r="B122" s="10" t="str">
        <x:v>Tủ áo và module cao</x:v>
      </x:c>
      <x:c r="C122" s="10" t="str">
        <x:v>wardrobe_clear_depth</x:v>
      </x:c>
      <x:c r="D122" s="10" t="str">
        <x:v>Sâu hữu dụng treo áo</x:v>
      </x:c>
      <x:c r="E122" s="10" t="str">
        <x:v>Chuỗi</x:v>
      </x:c>
      <x:c r="F122" s="10" t="str">
        <x:v>mm</x:v>
      </x:c>
      <x:c r="G122" s="15" t="str">
        <x:v>560 đến 565</x:v>
      </x:c>
      <x:c r="H122" s="10" t="str">
        <x:v>Mục tiêu thiết kế</x:v>
      </x:c>
      <x:c r="I122" s="10" t="str">
        <x:v>Không bảo đảm tự đạt khi phủ bì 600</x:v>
      </x:c>
      <x:c r="J122" s="10" t="str">
        <x:v>Tủ</x:v>
      </x:c>
      <x:c r="K122" s="10" t="str">
        <x:v>P0</x:v>
      </x:c>
      <x:c r="L122" s="10" t="str">
        <x:v>Yêu cầu T+ trước đây; cần chốt lại</x:v>
      </x:c>
      <x:c r="M122" s="10" t="str">
        <x:v>N09 N05</x:v>
      </x:c>
      <x:c r="N122" s="14" t="str">
        <x:v>Chưa chọn</x:v>
      </x:c>
      <x:c r="O122" s="14"/>
      <x:c r="P122" s="14"/>
    </x:row>
    <x:row r="123" ht="42" customHeight="1">
      <x:c r="A123" s="13" t="str">
        <x:v>WARD-03</x:v>
      </x:c>
      <x:c r="B123" s="11" t="str">
        <x:v>Tủ áo và module cao</x:v>
      </x:c>
      <x:c r="C123" s="11" t="str">
        <x:v>max_panel_length</x:v>
      </x:c>
      <x:c r="D123" s="11" t="str">
        <x:v>Chiều dài tấm tối đa</x:v>
      </x:c>
      <x:c r="E123" s="11" t="str">
        <x:v>Số</x:v>
      </x:c>
      <x:c r="F123" s="11" t="str">
        <x:v>mm</x:v>
      </x:c>
      <x:c r="G123" s="16"/>
      <x:c r="H123" s="11" t="str">
        <x:v>Theo khổ ván dùng được</x:v>
      </x:c>
      <x:c r="I123" s="11" t="str">
        <x:v>Trừ xén biên trước so sánh</x:v>
      </x:c>
      <x:c r="J123" s="11" t="str">
        <x:v>Tủ</x:v>
      </x:c>
      <x:c r="K123" s="11" t="str">
        <x:v>P0</x:v>
      </x:c>
      <x:c r="L123" s="11" t="str">
        <x:v>Đề xuất T+; nguồn tham khảo khái niệm</x:v>
      </x:c>
      <x:c r="M123" s="11" t="str">
        <x:v>N09 N05</x:v>
      </x:c>
      <x:c r="N123" s="14" t="str">
        <x:v>Chưa chọn</x:v>
      </x:c>
      <x:c r="O123" s="14"/>
      <x:c r="P123" s="14"/>
    </x:row>
    <x:row r="124" ht="42" customHeight="1">
      <x:c r="A124" s="12" t="str">
        <x:v>WARD-04</x:v>
      </x:c>
      <x:c r="B124" s="10" t="str">
        <x:v>Tủ áo và module cao</x:v>
      </x:c>
      <x:c r="C124" s="10" t="str">
        <x:v>transport_module_limit</x:v>
      </x:c>
      <x:c r="D124" s="10" t="str">
        <x:v>Giới hạn vận chuyển</x:v>
      </x:c>
      <x:c r="E124" s="10" t="str">
        <x:v>Cấu trúc</x:v>
      </x:c>
      <x:c r="F124" s="10" t="str"/>
      <x:c r="G124" s="15"/>
      <x:c r="H124" s="10" t="str">
        <x:v>Rộng cao sâu và tuyến đi</x:v>
      </x:c>
      <x:c r="I124" s="10" t="str">
        <x:v>Không chỉ so một chiều với cửa thang máy</x:v>
      </x:c>
      <x:c r="J124" s="10" t="str">
        <x:v>Tủ</x:v>
      </x:c>
      <x:c r="K124" s="10" t="str">
        <x:v>P0</x:v>
      </x:c>
      <x:c r="L124" s="10" t="str">
        <x:v>Đề xuất T+; nguồn tham khảo khái niệm</x:v>
      </x:c>
      <x:c r="M124" s="10" t="str">
        <x:v>N09 N05</x:v>
      </x:c>
      <x:c r="N124" s="14" t="str">
        <x:v>Chưa chọn</x:v>
      </x:c>
      <x:c r="O124" s="14"/>
      <x:c r="P124" s="14"/>
    </x:row>
    <x:row r="125" ht="42" customHeight="1">
      <x:c r="A125" s="13" t="str">
        <x:v>WARD-05</x:v>
      </x:c>
      <x:c r="B125" s="11" t="str">
        <x:v>Tủ áo và module cao</x:v>
      </x:c>
      <x:c r="C125" s="11" t="str">
        <x:v>tall_split_mode</x:v>
      </x:c>
      <x:c r="D125" s="11" t="str">
        <x:v>Chia tủ trên dưới</x:v>
      </x:c>
      <x:c r="E125" s="11" t="str">
        <x:v>Danh sách</x:v>
      </x:c>
      <x:c r="F125" s="11" t="str"/>
      <x:c r="G125" s="16" t="str">
        <x:v>By_panel_limit</x:v>
      </x:c>
      <x:c r="H125" s="11" t="str">
        <x:v>By_panel_limit; Manual</x:v>
      </x:c>
      <x:c r="I125" s="11" t="str">
        <x:v>Không tự nối tấm chưa có chi tiết</x:v>
      </x:c>
      <x:c r="J125" s="11" t="str">
        <x:v>Tủ</x:v>
      </x:c>
      <x:c r="K125" s="11" t="str">
        <x:v>P0</x:v>
      </x:c>
      <x:c r="L125" s="11" t="str">
        <x:v>Đề xuất T+; nguồn tham khảo khái niệm</x:v>
      </x:c>
      <x:c r="M125" s="11" t="str">
        <x:v>N09 N05</x:v>
      </x:c>
      <x:c r="N125" s="14" t="str">
        <x:v>Chưa chọn</x:v>
      </x:c>
      <x:c r="O125" s="14"/>
      <x:c r="P125" s="14"/>
    </x:row>
    <x:row r="126" ht="42" customHeight="1">
      <x:c r="A126" s="12" t="str">
        <x:v>WARD-06</x:v>
      </x:c>
      <x:c r="B126" s="10" t="str">
        <x:v>Tủ áo và module cao</x:v>
      </x:c>
      <x:c r="C126" s="10" t="str">
        <x:v>tall_split_height</x:v>
      </x:c>
      <x:c r="D126" s="10" t="str">
        <x:v>Cao độ chia module</x:v>
      </x:c>
      <x:c r="E126" s="10" t="str">
        <x:v>Số</x:v>
      </x:c>
      <x:c r="F126" s="10" t="str">
        <x:v>mm</x:v>
      </x:c>
      <x:c r="G126" s="15"/>
      <x:c r="H126" s="10" t="str">
        <x:v>Theo xưởng</x:v>
      </x:c>
      <x:c r="I126" s="10" t="str">
        <x:v>Sinh đủ nóc đáy module</x:v>
      </x:c>
      <x:c r="J126" s="10" t="str">
        <x:v>Tủ</x:v>
      </x:c>
      <x:c r="K126" s="10" t="str">
        <x:v>P0</x:v>
      </x:c>
      <x:c r="L126" s="10" t="str">
        <x:v>Đề xuất T+; nguồn tham khảo khái niệm</x:v>
      </x:c>
      <x:c r="M126" s="10" t="str">
        <x:v>N09 N05</x:v>
      </x:c>
      <x:c r="N126" s="14" t="str">
        <x:v>Chưa chọn</x:v>
      </x:c>
      <x:c r="O126" s="14"/>
      <x:c r="P126" s="14"/>
    </x:row>
    <x:row r="127" ht="42" customHeight="1">
      <x:c r="A127" s="13" t="str">
        <x:v>WARD-07</x:v>
      </x:c>
      <x:c r="B127" s="11" t="str">
        <x:v>Tủ áo và module cao</x:v>
      </x:c>
      <x:c r="C127" s="11" t="str">
        <x:v>wardrobe_bay_width</x:v>
      </x:c>
      <x:c r="D127" s="11" t="str">
        <x:v>Rộng khoang treo mục tiêu</x:v>
      </x:c>
      <x:c r="E127" s="11" t="str">
        <x:v>Chuỗi</x:v>
      </x:c>
      <x:c r="F127" s="11" t="str">
        <x:v>mm</x:v>
      </x:c>
      <x:c r="G127" s="16" t="str">
        <x:v>Khoảng 800 đến 900</x:v>
      </x:c>
      <x:c r="H127" s="11" t="str">
        <x:v>Chốt theo thiết kế</x:v>
      </x:c>
      <x:c r="I127" s="11" t="str">
        <x:v>Không là giới hạn bền phổ quát</x:v>
      </x:c>
      <x:c r="J127" s="11" t="str">
        <x:v>Tủ</x:v>
      </x:c>
      <x:c r="K127" s="11" t="str">
        <x:v>P0</x:v>
      </x:c>
      <x:c r="L127" s="11" t="str">
        <x:v>Yêu cầu T+ trước đây; cần chốt lại</x:v>
      </x:c>
      <x:c r="M127" s="11" t="str">
        <x:v>N09 N05</x:v>
      </x:c>
      <x:c r="N127" s="14" t="str">
        <x:v>Chưa chọn</x:v>
      </x:c>
      <x:c r="O127" s="14"/>
      <x:c r="P127" s="14"/>
    </x:row>
    <x:row r="128" ht="42" customHeight="1">
      <x:c r="A128" s="12" t="str">
        <x:v>WARD-08</x:v>
      </x:c>
      <x:c r="B128" s="10" t="str">
        <x:v>Tủ áo và module cao</x:v>
      </x:c>
      <x:c r="C128" s="10" t="str">
        <x:v>module_assembly</x:v>
      </x:c>
      <x:c r="D128" s="10" t="str">
        <x:v>Kiểu ghép module</x:v>
      </x:c>
      <x:c r="E128" s="10" t="str">
        <x:v>Danh sách</x:v>
      </x:c>
      <x:c r="F128" s="10" t="str"/>
      <x:c r="G128" s="15" t="str">
        <x:v>Independent</x:v>
      </x:c>
      <x:c r="H128" s="10" t="str">
        <x:v>Independent; Shared</x:v>
      </x:c>
      <x:c r="I128" s="10" t="str">
        <x:v>Independent sinh hồi đôi</x:v>
      </x:c>
      <x:c r="J128" s="10" t="str">
        <x:v>Tủ</x:v>
      </x:c>
      <x:c r="K128" s="10" t="str">
        <x:v>P0</x:v>
      </x:c>
      <x:c r="L128" s="10" t="str">
        <x:v>Đề xuất T+; nguồn tham khảo khái niệm</x:v>
      </x:c>
      <x:c r="M128" s="10" t="str">
        <x:v>N09 N05</x:v>
      </x:c>
      <x:c r="N128" s="14" t="str">
        <x:v>Chưa chọn</x:v>
      </x:c>
      <x:c r="O128" s="14"/>
      <x:c r="P128" s="14"/>
    </x:row>
    <x:row r="129" ht="42" customHeight="1">
      <x:c r="A129" s="13" t="str">
        <x:v>WARD-09</x:v>
      </x:c>
      <x:c r="B129" s="11" t="str">
        <x:v>Tủ áo và module cao</x:v>
      </x:c>
      <x:c r="C129" s="11" t="str">
        <x:v>short_hanging_height</x:v>
      </x:c>
      <x:c r="D129" s="11" t="str">
        <x:v>Cao thông thủy treo ngắn</x:v>
      </x:c>
      <x:c r="E129" s="11" t="str">
        <x:v>Chuỗi</x:v>
      </x:c>
      <x:c r="F129" s="11" t="str">
        <x:v>mm</x:v>
      </x:c>
      <x:c r="G129" s="16" t="str">
        <x:v>900 đến 1000</x:v>
      </x:c>
      <x:c r="H129" s="11" t="str">
        <x:v>Preset thiết kế</x:v>
      </x:c>
      <x:c r="I129" s="11" t="str">
        <x:v>Đo từ thanh treo đến vật cản</x:v>
      </x:c>
      <x:c r="J129" s="11" t="str">
        <x:v>Tủ</x:v>
      </x:c>
      <x:c r="K129" s="11" t="str">
        <x:v>P0</x:v>
      </x:c>
      <x:c r="L129" s="11" t="str">
        <x:v>Yêu cầu T+ trước đây; cần chốt lại</x:v>
      </x:c>
      <x:c r="M129" s="11" t="str">
        <x:v>N09 N05</x:v>
      </x:c>
      <x:c r="N129" s="14" t="str">
        <x:v>Chưa chọn</x:v>
      </x:c>
      <x:c r="O129" s="14"/>
      <x:c r="P129" s="14"/>
    </x:row>
    <x:row r="130" ht="42" customHeight="1">
      <x:c r="A130" s="12" t="str">
        <x:v>WARD-10</x:v>
      </x:c>
      <x:c r="B130" s="10" t="str">
        <x:v>Tủ áo và module cao</x:v>
      </x:c>
      <x:c r="C130" s="10" t="str">
        <x:v>long_hanging_height</x:v>
      </x:c>
      <x:c r="D130" s="10" t="str">
        <x:v>Cao thông thủy treo dài</x:v>
      </x:c>
      <x:c r="E130" s="10" t="str">
        <x:v>Chuỗi</x:v>
      </x:c>
      <x:c r="F130" s="10" t="str">
        <x:v>mm</x:v>
      </x:c>
      <x:c r="G130" s="15" t="str">
        <x:v>1300 đến 1500</x:v>
      </x:c>
      <x:c r="H130" s="10" t="str">
        <x:v>Preset thiết kế</x:v>
      </x:c>
      <x:c r="I130" s="10" t="str">
        <x:v>Chốt nhu cầu người dùng</x:v>
      </x:c>
      <x:c r="J130" s="10" t="str">
        <x:v>Tủ</x:v>
      </x:c>
      <x:c r="K130" s="10" t="str">
        <x:v>P0</x:v>
      </x:c>
      <x:c r="L130" s="10" t="str">
        <x:v>Yêu cầu T+ trước đây; cần chốt lại</x:v>
      </x:c>
      <x:c r="M130" s="10" t="str">
        <x:v>N09 N05</x:v>
      </x:c>
      <x:c r="N130" s="14" t="str">
        <x:v>Chưa chọn</x:v>
      </x:c>
      <x:c r="O130" s="14"/>
      <x:c r="P130" s="14"/>
    </x:row>
    <x:row r="131" ht="42" customHeight="1">
      <x:c r="A131" s="13" t="str">
        <x:v>WARD-11</x:v>
      </x:c>
      <x:c r="B131" s="11" t="str">
        <x:v>Tủ áo và module cao</x:v>
      </x:c>
      <x:c r="C131" s="11" t="str">
        <x:v>folded_shelf_spacing</x:v>
      </x:c>
      <x:c r="D131" s="11" t="str">
        <x:v>Cao khoang đồ gấp</x:v>
      </x:c>
      <x:c r="E131" s="11" t="str">
        <x:v>Chuỗi</x:v>
      </x:c>
      <x:c r="F131" s="11" t="str">
        <x:v>mm</x:v>
      </x:c>
      <x:c r="G131" s="16" t="str">
        <x:v>300 đến 350</x:v>
      </x:c>
      <x:c r="H131" s="11" t="str">
        <x:v>Preset thiết kế</x:v>
      </x:c>
      <x:c r="I131" s="11" t="str">
        <x:v>Kiểm độ dày đợt</x:v>
      </x:c>
      <x:c r="J131" s="11" t="str">
        <x:v>Tủ</x:v>
      </x:c>
      <x:c r="K131" s="11" t="str">
        <x:v>P0</x:v>
      </x:c>
      <x:c r="L131" s="11" t="str">
        <x:v>Yêu cầu T+ trước đây; cần chốt lại</x:v>
      </x:c>
      <x:c r="M131" s="11" t="str">
        <x:v>N09 N05</x:v>
      </x:c>
      <x:c r="N131" s="14" t="str">
        <x:v>Chưa chọn</x:v>
      </x:c>
      <x:c r="O131" s="14"/>
      <x:c r="P131" s="14"/>
    </x:row>
    <x:row r="132" ht="42" customHeight="1">
      <x:c r="A132" s="12" t="str">
        <x:v>WARD-12</x:v>
      </x:c>
      <x:c r="B132" s="10" t="str">
        <x:v>Tủ áo và module cao</x:v>
      </x:c>
      <x:c r="C132" s="10" t="str">
        <x:v>rod_offset</x:v>
      </x:c>
      <x:c r="D132" s="10" t="str">
        <x:v>Vị trí thanh treo</x:v>
      </x:c>
      <x:c r="E132" s="10" t="str">
        <x:v>Cấu trúc</x:v>
      </x:c>
      <x:c r="F132" s="10" t="str">
        <x:v>mm</x:v>
      </x:c>
      <x:c r="G132" s="15"/>
      <x:c r="H132" s="10" t="str">
        <x:v>Cao độ và lùi trước sau</x:v>
      </x:c>
      <x:c r="I132" s="10" t="str">
        <x:v>Không gán mặc định khi chưa chốt</x:v>
      </x:c>
      <x:c r="J132" s="10" t="str">
        <x:v>Tủ</x:v>
      </x:c>
      <x:c r="K132" s="10" t="str">
        <x:v>P0</x:v>
      </x:c>
      <x:c r="L132" s="10" t="str">
        <x:v>Đề xuất T+; nguồn tham khảo khái niệm</x:v>
      </x:c>
      <x:c r="M132" s="10" t="str">
        <x:v>N09 N05</x:v>
      </x:c>
      <x:c r="N132" s="14" t="str">
        <x:v>Chưa chọn</x:v>
      </x:c>
      <x:c r="O132" s="14"/>
      <x:c r="P132" s="14"/>
    </x:row>
    <x:row r="133" ht="42" customHeight="1">
      <x:c r="A133" s="13" t="str">
        <x:v>HINGE-01</x:v>
      </x:c>
      <x:c r="B133" s="11" t="str">
        <x:v>Hồ sơ bản lề</x:v>
      </x:c>
      <x:c r="C133" s="11" t="str">
        <x:v>hinge_brand</x:v>
      </x:c>
      <x:c r="D133" s="11" t="str">
        <x:v>Hãng bản lề</x:v>
      </x:c>
      <x:c r="E133" s="11" t="str">
        <x:v>Chuỗi</x:v>
      </x:c>
      <x:c r="F133" s="11" t="str"/>
      <x:c r="G133" s="16"/>
      <x:c r="H133" s="11" t="str">
        <x:v>Theo mua hàng</x:v>
      </x:c>
      <x:c r="I133" s="11" t="str">
        <x:v>Không đủ để quyết định khoan</x:v>
      </x:c>
      <x:c r="J133" s="11" t="str">
        <x:v>Phụ kiện</x:v>
      </x:c>
      <x:c r="K133" s="11" t="str">
        <x:v>P1</x:v>
      </x:c>
      <x:c r="L133" s="11" t="str">
        <x:v>Đề xuất T+; nguồn tham khảo khái niệm</x:v>
      </x:c>
      <x:c r="M133" s="11" t="str">
        <x:v>N22 N23 N25</x:v>
      </x:c>
      <x:c r="N133" s="14" t="str">
        <x:v>Chưa chọn</x:v>
      </x:c>
      <x:c r="O133" s="14"/>
      <x:c r="P133" s="14"/>
    </x:row>
    <x:row r="134" ht="42" customHeight="1">
      <x:c r="A134" s="12" t="str">
        <x:v>HINGE-02</x:v>
      </x:c>
      <x:c r="B134" s="10" t="str">
        <x:v>Hồ sơ bản lề</x:v>
      </x:c>
      <x:c r="C134" s="10" t="str">
        <x:v>hinge_sku</x:v>
      </x:c>
      <x:c r="D134" s="10" t="str">
        <x:v>Mã bản lề</x:v>
      </x:c>
      <x:c r="E134" s="10" t="str">
        <x:v>Chuỗi</x:v>
      </x:c>
      <x:c r="F134" s="10" t="str"/>
      <x:c r="G134" s="15"/>
      <x:c r="H134" s="10" t="str">
        <x:v>SKU đầy đủ</x:v>
      </x:c>
      <x:c r="I134" s="10" t="str">
        <x:v>Bắt buộc trước xuất nguyên công</x:v>
      </x:c>
      <x:c r="J134" s="10" t="str">
        <x:v>Phụ kiện</x:v>
      </x:c>
      <x:c r="K134" s="10" t="str">
        <x:v>P1</x:v>
      </x:c>
      <x:c r="L134" s="10" t="str">
        <x:v>Đề xuất T+; nguồn tham khảo khái niệm</x:v>
      </x:c>
      <x:c r="M134" s="10" t="str">
        <x:v>N22 N23 N25</x:v>
      </x:c>
      <x:c r="N134" s="14" t="str">
        <x:v>Chưa chọn</x:v>
      </x:c>
      <x:c r="O134" s="14"/>
      <x:c r="P134" s="14"/>
    </x:row>
    <x:row r="135" ht="42" customHeight="1">
      <x:c r="A135" s="13" t="str">
        <x:v>HINGE-03</x:v>
      </x:c>
      <x:c r="B135" s="11" t="str">
        <x:v>Hồ sơ bản lề</x:v>
      </x:c>
      <x:c r="C135" s="11" t="str">
        <x:v>hinge_plate_sku</x:v>
      </x:c>
      <x:c r="D135" s="11" t="str">
        <x:v>Mã đế bản lề</x:v>
      </x:c>
      <x:c r="E135" s="11" t="str">
        <x:v>Chuỗi</x:v>
      </x:c>
      <x:c r="F135" s="11" t="str"/>
      <x:c r="G135" s="16"/>
      <x:c r="H135" s="11" t="str">
        <x:v>SKU tương thích</x:v>
      </x:c>
      <x:c r="I135" s="11" t="str">
        <x:v>Ghép đúng cặp hinge plate</x:v>
      </x:c>
      <x:c r="J135" s="11" t="str">
        <x:v>Phụ kiện</x:v>
      </x:c>
      <x:c r="K135" s="11" t="str">
        <x:v>P1</x:v>
      </x:c>
      <x:c r="L135" s="11" t="str">
        <x:v>Đề xuất T+; nguồn tham khảo khái niệm</x:v>
      </x:c>
      <x:c r="M135" s="11" t="str">
        <x:v>N22 N23 N25</x:v>
      </x:c>
      <x:c r="N135" s="14" t="str">
        <x:v>Chưa chọn</x:v>
      </x:c>
      <x:c r="O135" s="14"/>
      <x:c r="P135" s="14"/>
    </x:row>
    <x:row r="136" ht="42" customHeight="1">
      <x:c r="A136" s="12" t="str">
        <x:v>HINGE-04</x:v>
      </x:c>
      <x:c r="B136" s="10" t="str">
        <x:v>Hồ sơ bản lề</x:v>
      </x:c>
      <x:c r="C136" s="10" t="str">
        <x:v>cup_diameter</x:v>
      </x:c>
      <x:c r="D136" s="10" t="str">
        <x:v>Đường kính chén</x:v>
      </x:c>
      <x:c r="E136" s="10" t="str">
        <x:v>Số</x:v>
      </x:c>
      <x:c r="F136" s="10" t="str">
        <x:v>mm</x:v>
      </x:c>
      <x:c r="G136" s="15"/>
      <x:c r="H136" s="10" t="str">
        <x:v>Theo SKU</x:v>
      </x:c>
      <x:c r="I136" s="10" t="str">
        <x:v>Không mặc định mọi bản lề 35</x:v>
      </x:c>
      <x:c r="J136" s="10" t="str">
        <x:v>Phụ kiện</x:v>
      </x:c>
      <x:c r="K136" s="10" t="str">
        <x:v>P1</x:v>
      </x:c>
      <x:c r="L136" s="10" t="str">
        <x:v>Đề xuất T+; nguồn tham khảo khái niệm</x:v>
      </x:c>
      <x:c r="M136" s="10" t="str">
        <x:v>N22 N23 N25</x:v>
      </x:c>
      <x:c r="N136" s="14" t="str">
        <x:v>Chưa chọn</x:v>
      </x:c>
      <x:c r="O136" s="14"/>
      <x:c r="P136" s="14"/>
    </x:row>
    <x:row r="137" ht="42" customHeight="1">
      <x:c r="A137" s="13" t="str">
        <x:v>HINGE-05</x:v>
      </x:c>
      <x:c r="B137" s="11" t="str">
        <x:v>Hồ sơ bản lề</x:v>
      </x:c>
      <x:c r="C137" s="11" t="str">
        <x:v>cup_drill_depth</x:v>
      </x:c>
      <x:c r="D137" s="11" t="str">
        <x:v>Chiều sâu lỗ chén</x:v>
      </x:c>
      <x:c r="E137" s="11" t="str">
        <x:v>Số</x:v>
      </x:c>
      <x:c r="F137" s="11" t="str">
        <x:v>mm</x:v>
      </x:c>
      <x:c r="G137" s="16"/>
      <x:c r="H137" s="11" t="str">
        <x:v>Theo bản vẽ khoan</x:v>
      </x:c>
      <x:c r="I137" s="11" t="str">
        <x:v>Không suy trực tiếp từ chiều cao thân chén</x:v>
      </x:c>
      <x:c r="J137" s="11" t="str">
        <x:v>Phụ kiện</x:v>
      </x:c>
      <x:c r="K137" s="11" t="str">
        <x:v>P1</x:v>
      </x:c>
      <x:c r="L137" s="11" t="str">
        <x:v>Đề xuất T+; nguồn tham khảo khái niệm</x:v>
      </x:c>
      <x:c r="M137" s="11" t="str">
        <x:v>N22 N23 N25</x:v>
      </x:c>
      <x:c r="N137" s="14" t="str">
        <x:v>Chưa chọn</x:v>
      </x:c>
      <x:c r="O137" s="14"/>
      <x:c r="P137" s="14"/>
    </x:row>
    <x:row r="138" ht="42" customHeight="1">
      <x:c r="A138" s="12" t="str">
        <x:v>HINGE-06</x:v>
      </x:c>
      <x:c r="B138" s="10" t="str">
        <x:v>Hồ sơ bản lề</x:v>
      </x:c>
      <x:c r="C138" s="10" t="str">
        <x:v>cup_edge_distance</x:v>
      </x:c>
      <x:c r="D138" s="10" t="str">
        <x:v>Từ mép cánh đến mép lỗ chén</x:v>
      </x:c>
      <x:c r="E138" s="10" t="str">
        <x:v>Số</x:v>
      </x:c>
      <x:c r="F138" s="10" t="str">
        <x:v>mm</x:v>
      </x:c>
      <x:c r="G138" s="15"/>
      <x:c r="H138" s="10" t="str">
        <x:v>Theo catalogue</x:v>
      </x:c>
      <x:c r="I138" s="10" t="str">
        <x:v>Phân biệt mép lỗ và tâm lỗ</x:v>
      </x:c>
      <x:c r="J138" s="10" t="str">
        <x:v>Phụ kiện</x:v>
      </x:c>
      <x:c r="K138" s="10" t="str">
        <x:v>P1</x:v>
      </x:c>
      <x:c r="L138" s="10" t="str">
        <x:v>Đề xuất T+; nguồn tham khảo khái niệm</x:v>
      </x:c>
      <x:c r="M138" s="10" t="str">
        <x:v>N22 N23 N25</x:v>
      </x:c>
      <x:c r="N138" s="14" t="str">
        <x:v>Chưa chọn</x:v>
      </x:c>
      <x:c r="O138" s="14"/>
      <x:c r="P138" s="14"/>
    </x:row>
    <x:row r="139" ht="42" customHeight="1">
      <x:c r="A139" s="13" t="str">
        <x:v>HINGE-07</x:v>
      </x:c>
      <x:c r="B139" s="11" t="str">
        <x:v>Hồ sơ bản lề</x:v>
      </x:c>
      <x:c r="C139" s="11" t="str">
        <x:v>cup_fixing_pattern</x:v>
      </x:c>
      <x:c r="D139" s="11" t="str">
        <x:v>Mẫu lỗ bắt chén</x:v>
      </x:c>
      <x:c r="E139" s="11" t="str">
        <x:v>Cấu trúc</x:v>
      </x:c>
      <x:c r="F139" s="11" t="str">
        <x:v>mm</x:v>
      </x:c>
      <x:c r="G139" s="16"/>
      <x:c r="H139" s="11" t="str">
        <x:v>Theo SKU</x:v>
      </x:c>
      <x:c r="I139" s="11" t="str">
        <x:v>Khoảng cách tâm và offset</x:v>
      </x:c>
      <x:c r="J139" s="11" t="str">
        <x:v>Phụ kiện</x:v>
      </x:c>
      <x:c r="K139" s="11" t="str">
        <x:v>P1</x:v>
      </x:c>
      <x:c r="L139" s="11" t="str">
        <x:v>Đề xuất T+; nguồn tham khảo khái niệm</x:v>
      </x:c>
      <x:c r="M139" s="11" t="str">
        <x:v>N22 N23 N25</x:v>
      </x:c>
      <x:c r="N139" s="14" t="str">
        <x:v>Chưa chọn</x:v>
      </x:c>
      <x:c r="O139" s="14"/>
      <x:c r="P139" s="14"/>
    </x:row>
    <x:row r="140" ht="42" customHeight="1">
      <x:c r="A140" s="12" t="str">
        <x:v>HINGE-08</x:v>
      </x:c>
      <x:c r="B140" s="10" t="str">
        <x:v>Hồ sơ bản lề</x:v>
      </x:c>
      <x:c r="C140" s="10" t="str">
        <x:v>plate_height</x:v>
      </x:c>
      <x:c r="D140" s="10" t="str">
        <x:v>Chiều cao đế</x:v>
      </x:c>
      <x:c r="E140" s="10" t="str">
        <x:v>Số</x:v>
      </x:c>
      <x:c r="F140" s="10" t="str">
        <x:v>mm</x:v>
      </x:c>
      <x:c r="G140" s="15"/>
      <x:c r="H140" s="10" t="str">
        <x:v>Theo SKU</x:v>
      </x:c>
      <x:c r="I140" s="10" t="str">
        <x:v>Liên hệ độ phủ và khe mở</x:v>
      </x:c>
      <x:c r="J140" s="10" t="str">
        <x:v>Phụ kiện</x:v>
      </x:c>
      <x:c r="K140" s="10" t="str">
        <x:v>P1</x:v>
      </x:c>
      <x:c r="L140" s="10" t="str">
        <x:v>Đề xuất T+; nguồn tham khảo khái niệm</x:v>
      </x:c>
      <x:c r="M140" s="10" t="str">
        <x:v>N22 N23 N25</x:v>
      </x:c>
      <x:c r="N140" s="14" t="str">
        <x:v>Chưa chọn</x:v>
      </x:c>
      <x:c r="O140" s="14"/>
      <x:c r="P140" s="14"/>
    </x:row>
    <x:row r="141" ht="42" customHeight="1">
      <x:c r="A141" s="13" t="str">
        <x:v>HINGE-09</x:v>
      </x:c>
      <x:c r="B141" s="11" t="str">
        <x:v>Hồ sơ bản lề</x:v>
      </x:c>
      <x:c r="C141" s="11" t="str">
        <x:v>hinge_min_door_thickness</x:v>
      </x:c>
      <x:c r="D141" s="11" t="str">
        <x:v>Dày cánh nhỏ nhất</x:v>
      </x:c>
      <x:c r="E141" s="11" t="str">
        <x:v>Số</x:v>
      </x:c>
      <x:c r="F141" s="11" t="str">
        <x:v>mm</x:v>
      </x:c>
      <x:c r="G141" s="16"/>
      <x:c r="H141" s="11" t="str">
        <x:v>Theo SKU</x:v>
      </x:c>
      <x:c r="I141" s="11" t="str">
        <x:v>Chặn cấu hình ngoài dải</x:v>
      </x:c>
      <x:c r="J141" s="11" t="str">
        <x:v>Phụ kiện</x:v>
      </x:c>
      <x:c r="K141" s="11" t="str">
        <x:v>P1</x:v>
      </x:c>
      <x:c r="L141" s="11" t="str">
        <x:v>Đề xuất T+; nguồn tham khảo khái niệm</x:v>
      </x:c>
      <x:c r="M141" s="11" t="str">
        <x:v>N22 N23 N25</x:v>
      </x:c>
      <x:c r="N141" s="14" t="str">
        <x:v>Chưa chọn</x:v>
      </x:c>
      <x:c r="O141" s="14"/>
      <x:c r="P141" s="14"/>
    </x:row>
    <x:row r="142" ht="42" customHeight="1">
      <x:c r="A142" s="12" t="str">
        <x:v>HINGE-10</x:v>
      </x:c>
      <x:c r="B142" s="10" t="str">
        <x:v>Hồ sơ bản lề</x:v>
      </x:c>
      <x:c r="C142" s="10" t="str">
        <x:v>hinge_max_door_thickness</x:v>
      </x:c>
      <x:c r="D142" s="10" t="str">
        <x:v>Dày cánh lớn nhất</x:v>
      </x:c>
      <x:c r="E142" s="10" t="str">
        <x:v>Số</x:v>
      </x:c>
      <x:c r="F142" s="10" t="str">
        <x:v>mm</x:v>
      </x:c>
      <x:c r="G142" s="15"/>
      <x:c r="H142" s="10" t="str">
        <x:v>Theo SKU</x:v>
      </x:c>
      <x:c r="I142" s="10" t="str">
        <x:v>Không chỉ kiểm chiều sâu chén</x:v>
      </x:c>
      <x:c r="J142" s="10" t="str">
        <x:v>Phụ kiện</x:v>
      </x:c>
      <x:c r="K142" s="10" t="str">
        <x:v>P1</x:v>
      </x:c>
      <x:c r="L142" s="10" t="str">
        <x:v>Đề xuất T+; nguồn tham khảo khái niệm</x:v>
      </x:c>
      <x:c r="M142" s="10" t="str">
        <x:v>N22 N23 N25</x:v>
      </x:c>
      <x:c r="N142" s="14" t="str">
        <x:v>Chưa chọn</x:v>
      </x:c>
      <x:c r="O142" s="14"/>
      <x:c r="P142" s="14"/>
    </x:row>
    <x:row r="143" ht="42" customHeight="1">
      <x:c r="A143" s="13" t="str">
        <x:v>HINGE-11</x:v>
      </x:c>
      <x:c r="B143" s="11" t="str">
        <x:v>Hồ sơ bản lề</x:v>
      </x:c>
      <x:c r="C143" s="11" t="str">
        <x:v>hinge_count_rule</x:v>
      </x:c>
      <x:c r="D143" s="11" t="str">
        <x:v>Quy tắc số bản lề</x:v>
      </x:c>
      <x:c r="E143" s="11" t="str">
        <x:v>Bảng</x:v>
      </x:c>
      <x:c r="F143" s="11" t="str"/>
      <x:c r="G143" s="16"/>
      <x:c r="H143" s="11" t="str">
        <x:v>Theo cao rộng nặng và hãng</x:v>
      </x:c>
      <x:c r="I143" s="11" t="str">
        <x:v>Không mặc định 2 cho mọi cánh</x:v>
      </x:c>
      <x:c r="J143" s="11" t="str">
        <x:v>Phụ kiện</x:v>
      </x:c>
      <x:c r="K143" s="11" t="str">
        <x:v>P1</x:v>
      </x:c>
      <x:c r="L143" s="11" t="str">
        <x:v>Đề xuất T+; nguồn tham khảo khái niệm</x:v>
      </x:c>
      <x:c r="M143" s="11" t="str">
        <x:v>N22 N23 N25</x:v>
      </x:c>
      <x:c r="N143" s="14" t="str">
        <x:v>Chưa chọn</x:v>
      </x:c>
      <x:c r="O143" s="14"/>
      <x:c r="P143" s="14"/>
    </x:row>
    <x:row r="144" ht="42" customHeight="1">
      <x:c r="A144" s="12" t="str">
        <x:v>HINGE-12</x:v>
      </x:c>
      <x:c r="B144" s="10" t="str">
        <x:v>Hồ sơ bản lề</x:v>
      </x:c>
      <x:c r="C144" s="10" t="str">
        <x:v>hinge_top_offset</x:v>
      </x:c>
      <x:c r="D144" s="10" t="str">
        <x:v>Tâm bản lề trên</x:v>
      </x:c>
      <x:c r="E144" s="10" t="str">
        <x:v>Số</x:v>
      </x:c>
      <x:c r="F144" s="10" t="str">
        <x:v>mm</x:v>
      </x:c>
      <x:c r="G144" s="15"/>
      <x:c r="H144" s="10" t="str">
        <x:v>Theo bản vẽ</x:v>
      </x:c>
      <x:c r="I144" s="10" t="str">
        <x:v>Đo từ đỉnh cánh</x:v>
      </x:c>
      <x:c r="J144" s="10" t="str">
        <x:v>Phụ kiện</x:v>
      </x:c>
      <x:c r="K144" s="10" t="str">
        <x:v>P1</x:v>
      </x:c>
      <x:c r="L144" s="10" t="str">
        <x:v>Đề xuất T+; nguồn tham khảo khái niệm</x:v>
      </x:c>
      <x:c r="M144" s="10" t="str">
        <x:v>N22 N23 N25</x:v>
      </x:c>
      <x:c r="N144" s="14" t="str">
        <x:v>Chưa chọn</x:v>
      </x:c>
      <x:c r="O144" s="14"/>
      <x:c r="P144" s="14"/>
    </x:row>
    <x:row r="145" ht="42" customHeight="1">
      <x:c r="A145" s="13" t="str">
        <x:v>HINGE-13</x:v>
      </x:c>
      <x:c r="B145" s="11" t="str">
        <x:v>Hồ sơ bản lề</x:v>
      </x:c>
      <x:c r="C145" s="11" t="str">
        <x:v>hinge_bottom_offset</x:v>
      </x:c>
      <x:c r="D145" s="11" t="str">
        <x:v>Tâm bản lề dưới</x:v>
      </x:c>
      <x:c r="E145" s="11" t="str">
        <x:v>Số</x:v>
      </x:c>
      <x:c r="F145" s="11" t="str">
        <x:v>mm</x:v>
      </x:c>
      <x:c r="G145" s="16"/>
      <x:c r="H145" s="11" t="str">
        <x:v>Theo bản vẽ</x:v>
      </x:c>
      <x:c r="I145" s="11" t="str">
        <x:v>Đo từ đáy cánh</x:v>
      </x:c>
      <x:c r="J145" s="11" t="str">
        <x:v>Phụ kiện</x:v>
      </x:c>
      <x:c r="K145" s="11" t="str">
        <x:v>P1</x:v>
      </x:c>
      <x:c r="L145" s="11" t="str">
        <x:v>Đề xuất T+; nguồn tham khảo khái niệm</x:v>
      </x:c>
      <x:c r="M145" s="11" t="str">
        <x:v>N22 N23 N25</x:v>
      </x:c>
      <x:c r="N145" s="14" t="str">
        <x:v>Chưa chọn</x:v>
      </x:c>
      <x:c r="O145" s="14"/>
      <x:c r="P145" s="14"/>
    </x:row>
    <x:row r="146" ht="42" customHeight="1">
      <x:c r="A146" s="12" t="str">
        <x:v>HINGE-14</x:v>
      </x:c>
      <x:c r="B146" s="10" t="str">
        <x:v>Hồ sơ bản lề</x:v>
      </x:c>
      <x:c r="C146" s="10" t="str">
        <x:v>hinge_forbidden_zones</x:v>
      </x:c>
      <x:c r="D146" s="10" t="str">
        <x:v>Vùng tránh bản lề</x:v>
      </x:c>
      <x:c r="E146" s="10" t="str">
        <x:v>Mảng</x:v>
      </x:c>
      <x:c r="F146" s="10" t="str">
        <x:v>mm</x:v>
      </x:c>
      <x:c r="G146" s="15"/>
      <x:c r="H146" s="10" t="str">
        <x:v>Đợt hộc khung và vít</x:v>
      </x:c>
      <x:c r="I146" s="10" t="str">
        <x:v>Không tự dời vượt điều kiện hãng</x:v>
      </x:c>
      <x:c r="J146" s="10" t="str">
        <x:v>Phụ kiện</x:v>
      </x:c>
      <x:c r="K146" s="10" t="str">
        <x:v>P1</x:v>
      </x:c>
      <x:c r="L146" s="10" t="str">
        <x:v>Đề xuất T+; nguồn tham khảo khái niệm</x:v>
      </x:c>
      <x:c r="M146" s="10" t="str">
        <x:v>N22 N23 N25</x:v>
      </x:c>
      <x:c r="N146" s="14" t="str">
        <x:v>Chưa chọn</x:v>
      </x:c>
      <x:c r="O146" s="14"/>
      <x:c r="P146" s="14"/>
    </x:row>
    <x:row r="147" ht="42" customHeight="1">
      <x:c r="A147" s="13" t="str">
        <x:v>RUN-01</x:v>
      </x:c>
      <x:c r="B147" s="11" t="str">
        <x:v>Hồ sơ ray</x:v>
      </x:c>
      <x:c r="C147" s="11" t="str">
        <x:v>runner_sku</x:v>
      </x:c>
      <x:c r="D147" s="11" t="str">
        <x:v>Mã ray đầy đủ</x:v>
      </x:c>
      <x:c r="E147" s="11" t="str">
        <x:v>Chuỗi</x:v>
      </x:c>
      <x:c r="F147" s="11" t="str"/>
      <x:c r="G147" s="16"/>
      <x:c r="H147" s="11" t="str">
        <x:v>SKU và chiều dài</x:v>
      </x:c>
      <x:c r="I147" s="11" t="str">
        <x:v>Phân biệt biến thể giảm chấn nhấn mở</x:v>
      </x:c>
      <x:c r="J147" s="11" t="str">
        <x:v>Phụ kiện</x:v>
      </x:c>
      <x:c r="K147" s="11" t="str">
        <x:v>P1</x:v>
      </x:c>
      <x:c r="L147" s="11" t="str">
        <x:v>Đề xuất T+; nguồn tham khảo khái niệm</x:v>
      </x:c>
      <x:c r="M147" s="11" t="str">
        <x:v>N20 N21</x:v>
      </x:c>
      <x:c r="N147" s="14" t="str">
        <x:v>Chưa chọn</x:v>
      </x:c>
      <x:c r="O147" s="14"/>
      <x:c r="P147" s="14"/>
    </x:row>
    <x:row r="148" ht="42" customHeight="1">
      <x:c r="A148" s="12" t="str">
        <x:v>RUN-02</x:v>
      </x:c>
      <x:c r="B148" s="10" t="str">
        <x:v>Hồ sơ ray</x:v>
      </x:c>
      <x:c r="C148" s="10" t="str">
        <x:v>runner_nominal_length</x:v>
      </x:c>
      <x:c r="D148" s="10" t="str">
        <x:v>Chiều dài danh nghĩa ray</x:v>
      </x:c>
      <x:c r="E148" s="10" t="str">
        <x:v>Số</x:v>
      </x:c>
      <x:c r="F148" s="10" t="str">
        <x:v>mm</x:v>
      </x:c>
      <x:c r="G148" s="15"/>
      <x:c r="H148" s="10" t="str">
        <x:v>Theo SKU</x:v>
      </x:c>
      <x:c r="I148" s="10" t="str">
        <x:v>Không lấy chiều dài vỏ đo ngoài</x:v>
      </x:c>
      <x:c r="J148" s="10" t="str">
        <x:v>Phụ kiện</x:v>
      </x:c>
      <x:c r="K148" s="10" t="str">
        <x:v>P1</x:v>
      </x:c>
      <x:c r="L148" s="10" t="str">
        <x:v>Đề xuất T+; nguồn tham khảo khái niệm</x:v>
      </x:c>
      <x:c r="M148" s="10" t="str">
        <x:v>N20 N21</x:v>
      </x:c>
      <x:c r="N148" s="14" t="str">
        <x:v>Chưa chọn</x:v>
      </x:c>
      <x:c r="O148" s="14"/>
      <x:c r="P148" s="14"/>
    </x:row>
    <x:row r="149" ht="42" customHeight="1">
      <x:c r="A149" s="13" t="str">
        <x:v>RUN-03</x:v>
      </x:c>
      <x:c r="B149" s="11" t="str">
        <x:v>Hồ sơ ray</x:v>
      </x:c>
      <x:c r="C149" s="11" t="str">
        <x:v>runner_load_class</x:v>
      </x:c>
      <x:c r="D149" s="11" t="str">
        <x:v>Cấp tải ray</x:v>
      </x:c>
      <x:c r="E149" s="11" t="str">
        <x:v>Số</x:v>
      </x:c>
      <x:c r="F149" s="11" t="str">
        <x:v>kg</x:v>
      </x:c>
      <x:c r="G149" s="16"/>
      <x:c r="H149" s="11" t="str">
        <x:v>Theo SKU</x:v>
      </x:c>
      <x:c r="I149" s="11" t="str">
        <x:v>Xác nhận cách hãng tính tải</x:v>
      </x:c>
      <x:c r="J149" s="11" t="str">
        <x:v>Phụ kiện</x:v>
      </x:c>
      <x:c r="K149" s="11" t="str">
        <x:v>P1</x:v>
      </x:c>
      <x:c r="L149" s="11" t="str">
        <x:v>Đề xuất T+; nguồn tham khảo khái niệm</x:v>
      </x:c>
      <x:c r="M149" s="11" t="str">
        <x:v>N20 N21</x:v>
      </x:c>
      <x:c r="N149" s="14" t="str">
        <x:v>Chưa chọn</x:v>
      </x:c>
      <x:c r="O149" s="14"/>
      <x:c r="P149" s="14"/>
    </x:row>
    <x:row r="150" ht="42" customHeight="1">
      <x:c r="A150" s="12" t="str">
        <x:v>RUN-04</x:v>
      </x:c>
      <x:c r="B150" s="10" t="str">
        <x:v>Hồ sơ ray</x:v>
      </x:c>
      <x:c r="C150" s="10" t="str">
        <x:v>drawer_width_formula</x:v>
      </x:c>
      <x:c r="D150" s="10" t="str">
        <x:v>Công thức rộng hộc</x:v>
      </x:c>
      <x:c r="E150" s="10" t="str">
        <x:v>Biểu thức</x:v>
      </x:c>
      <x:c r="F150" s="10" t="str"/>
      <x:c r="G150" s="15"/>
      <x:c r="H150" s="10" t="str">
        <x:v>Theo SKU</x:v>
      </x:c>
      <x:c r="I150" s="10" t="str">
        <x:v>Nêu rõ rộng lọt lòng hay phủ bì</x:v>
      </x:c>
      <x:c r="J150" s="10" t="str">
        <x:v>Phụ kiện</x:v>
      </x:c>
      <x:c r="K150" s="10" t="str">
        <x:v>P1</x:v>
      </x:c>
      <x:c r="L150" s="10" t="str">
        <x:v>Đề xuất T+; nguồn tham khảo khái niệm</x:v>
      </x:c>
      <x:c r="M150" s="10" t="str">
        <x:v>N20 N21</x:v>
      </x:c>
      <x:c r="N150" s="14" t="str">
        <x:v>Chưa chọn</x:v>
      </x:c>
      <x:c r="O150" s="14"/>
      <x:c r="P150" s="14"/>
    </x:row>
    <x:row r="151" ht="42" customHeight="1">
      <x:c r="A151" s="13" t="str">
        <x:v>RUN-05</x:v>
      </x:c>
      <x:c r="B151" s="11" t="str">
        <x:v>Hồ sơ ray</x:v>
      </x:c>
      <x:c r="C151" s="11" t="str">
        <x:v>drawer_length_formula</x:v>
      </x:c>
      <x:c r="D151" s="11" t="str">
        <x:v>Công thức dài hộc</x:v>
      </x:c>
      <x:c r="E151" s="11" t="str">
        <x:v>Biểu thức</x:v>
      </x:c>
      <x:c r="F151" s="11" t="str"/>
      <x:c r="G151" s="16"/>
      <x:c r="H151" s="11" t="str">
        <x:v>Theo SKU</x:v>
      </x:c>
      <x:c r="I151" s="11" t="str">
        <x:v>Có tùy chọn hộc âm</x:v>
      </x:c>
      <x:c r="J151" s="11" t="str">
        <x:v>Phụ kiện</x:v>
      </x:c>
      <x:c r="K151" s="11" t="str">
        <x:v>P1</x:v>
      </x:c>
      <x:c r="L151" s="11" t="str">
        <x:v>Đề xuất T+; nguồn tham khảo khái niệm</x:v>
      </x:c>
      <x:c r="M151" s="11" t="str">
        <x:v>N20 N21</x:v>
      </x:c>
      <x:c r="N151" s="14" t="str">
        <x:v>Chưa chọn</x:v>
      </x:c>
      <x:c r="O151" s="14"/>
      <x:c r="P151" s="14"/>
    </x:row>
    <x:row r="152" ht="42" customHeight="1">
      <x:c r="A152" s="12" t="str">
        <x:v>RUN-06</x:v>
      </x:c>
      <x:c r="B152" s="10" t="str">
        <x:v>Hồ sơ ray</x:v>
      </x:c>
      <x:c r="C152" s="10" t="str">
        <x:v>runner_hole_pattern</x:v>
      </x:c>
      <x:c r="D152" s="10" t="str">
        <x:v>Mẫu lỗ ray</x:v>
      </x:c>
      <x:c r="E152" s="10" t="str">
        <x:v>Cấu trúc</x:v>
      </x:c>
      <x:c r="F152" s="10" t="str">
        <x:v>mm</x:v>
      </x:c>
      <x:c r="G152" s="15"/>
      <x:c r="H152" s="10" t="str">
        <x:v>Theo chiều dài ray</x:v>
      </x:c>
      <x:c r="I152" s="10" t="str">
        <x:v>Chọn đúng mặt chuẩn</x:v>
      </x:c>
      <x:c r="J152" s="10" t="str">
        <x:v>Phụ kiện</x:v>
      </x:c>
      <x:c r="K152" s="10" t="str">
        <x:v>P1</x:v>
      </x:c>
      <x:c r="L152" s="10" t="str">
        <x:v>Đề xuất T+; nguồn tham khảo khái niệm</x:v>
      </x:c>
      <x:c r="M152" s="10" t="str">
        <x:v>N20 N21</x:v>
      </x:c>
      <x:c r="N152" s="14" t="str">
        <x:v>Chưa chọn</x:v>
      </x:c>
      <x:c r="O152" s="14"/>
      <x:c r="P152" s="14"/>
    </x:row>
    <x:row r="153" ht="42" customHeight="1">
      <x:c r="A153" s="13" t="str">
        <x:v>RUN-07</x:v>
      </x:c>
      <x:c r="B153" s="11" t="str">
        <x:v>Hồ sơ ray</x:v>
      </x:c>
      <x:c r="C153" s="11" t="str">
        <x:v>runner_locking_device</x:v>
      </x:c>
      <x:c r="D153" s="11" t="str">
        <x:v>Bộ khóa trước</x:v>
      </x:c>
      <x:c r="E153" s="11" t="str">
        <x:v>Tham chiếu</x:v>
      </x:c>
      <x:c r="F153" s="11" t="str"/>
      <x:c r="G153" s="16"/>
      <x:c r="H153" s="11" t="str">
        <x:v>Theo SKU</x:v>
      </x:c>
      <x:c r="I153" s="11" t="str">
        <x:v>Tính BOM và lỗ tương ứng</x:v>
      </x:c>
      <x:c r="J153" s="11" t="str">
        <x:v>Phụ kiện</x:v>
      </x:c>
      <x:c r="K153" s="11" t="str">
        <x:v>P1</x:v>
      </x:c>
      <x:c r="L153" s="11" t="str">
        <x:v>Đề xuất T+; nguồn tham khảo khái niệm</x:v>
      </x:c>
      <x:c r="M153" s="11" t="str">
        <x:v>N20 N21</x:v>
      </x:c>
      <x:c r="N153" s="14" t="str">
        <x:v>Chưa chọn</x:v>
      </x:c>
      <x:c r="O153" s="14"/>
      <x:c r="P153" s="14"/>
    </x:row>
    <x:row r="154" ht="42" customHeight="1">
      <x:c r="A154" s="12" t="str">
        <x:v>RUN-08</x:v>
      </x:c>
      <x:c r="B154" s="10" t="str">
        <x:v>Hồ sơ ray</x:v>
      </x:c>
      <x:c r="C154" s="10" t="str">
        <x:v>runner_rear_hook</x:v>
      </x:c>
      <x:c r="D154" s="10" t="str">
        <x:v>Lỗ móc sau</x:v>
      </x:c>
      <x:c r="E154" s="10" t="str">
        <x:v>Cấu trúc</x:v>
      </x:c>
      <x:c r="F154" s="10" t="str">
        <x:v>mm</x:v>
      </x:c>
      <x:c r="G154" s="15"/>
      <x:c r="H154" s="10" t="str">
        <x:v>Theo SKU</x:v>
      </x:c>
      <x:c r="I154" s="10" t="str">
        <x:v>Có tọa độ đường kính sâu</x:v>
      </x:c>
      <x:c r="J154" s="10" t="str">
        <x:v>Phụ kiện</x:v>
      </x:c>
      <x:c r="K154" s="10" t="str">
        <x:v>P1</x:v>
      </x:c>
      <x:c r="L154" s="10" t="str">
        <x:v>Đề xuất T+; nguồn tham khảo khái niệm</x:v>
      </x:c>
      <x:c r="M154" s="10" t="str">
        <x:v>N20 N21</x:v>
      </x:c>
      <x:c r="N154" s="14" t="str">
        <x:v>Chưa chọn</x:v>
      </x:c>
      <x:c r="O154" s="14"/>
      <x:c r="P154" s="14"/>
    </x:row>
    <x:row r="155" ht="42" customHeight="1">
      <x:c r="A155" s="13" t="str">
        <x:v>RUN-09</x:v>
      </x:c>
      <x:c r="B155" s="11" t="str">
        <x:v>Hồ sơ ray</x:v>
      </x:c>
      <x:c r="C155" s="11" t="str">
        <x:v>runner_trigger_gap</x:v>
      </x:c>
      <x:c r="D155" s="11" t="str">
        <x:v>Khe kích hoạt nhấn mở</x:v>
      </x:c>
      <x:c r="E155" s="11" t="str">
        <x:v>Số</x:v>
      </x:c>
      <x:c r="F155" s="11" t="str">
        <x:v>mm</x:v>
      </x:c>
      <x:c r="G155" s="16"/>
      <x:c r="H155" s="11" t="str">
        <x:v>Theo biến thể</x:v>
      </x:c>
      <x:c r="I155" s="11" t="str">
        <x:v>Không dùng khe giảm chấn thay thế</x:v>
      </x:c>
      <x:c r="J155" s="11" t="str">
        <x:v>Phụ kiện</x:v>
      </x:c>
      <x:c r="K155" s="11" t="str">
        <x:v>P1</x:v>
      </x:c>
      <x:c r="L155" s="11" t="str">
        <x:v>Đề xuất T+; nguồn tham khảo khái niệm</x:v>
      </x:c>
      <x:c r="M155" s="11" t="str">
        <x:v>N20 N21</x:v>
      </x:c>
      <x:c r="N155" s="14" t="str">
        <x:v>Chưa chọn</x:v>
      </x:c>
      <x:c r="O155" s="14"/>
      <x:c r="P155" s="14"/>
    </x:row>
    <x:row r="156" ht="42" customHeight="1">
      <x:c r="A156" s="12" t="str">
        <x:v>RUN-10</x:v>
      </x:c>
      <x:c r="B156" s="10" t="str">
        <x:v>Hồ sơ ray</x:v>
      </x:c>
      <x:c r="C156" s="10" t="str">
        <x:v>runner_sync_required</x:v>
      </x:c>
      <x:c r="D156" s="10" t="str">
        <x:v>Thanh đồng bộ</x:v>
      </x:c>
      <x:c r="E156" s="10" t="str">
        <x:v>Danh sách</x:v>
      </x:c>
      <x:c r="F156" s="10" t="str"/>
      <x:c r="G156" s="15"/>
      <x:c r="H156" s="10" t="str">
        <x:v>Required; Optional; None</x:v>
      </x:c>
      <x:c r="I156" s="10" t="str">
        <x:v>Theo rộng hộc và hãng</x:v>
      </x:c>
      <x:c r="J156" s="10" t="str">
        <x:v>Phụ kiện</x:v>
      </x:c>
      <x:c r="K156" s="10" t="str">
        <x:v>P1</x:v>
      </x:c>
      <x:c r="L156" s="10" t="str">
        <x:v>Đề xuất T+; nguồn tham khảo khái niệm</x:v>
      </x:c>
      <x:c r="M156" s="10" t="str">
        <x:v>N20 N21</x:v>
      </x:c>
      <x:c r="N156" s="14" t="str">
        <x:v>Chưa chọn</x:v>
      </x:c>
      <x:c r="O156" s="14"/>
      <x:c r="P156" s="14"/>
    </x:row>
    <x:row r="157" ht="42" customHeight="1">
      <x:c r="A157" s="13" t="str">
        <x:v>JOIN-01</x:v>
      </x:c>
      <x:c r="B157" s="11" t="str">
        <x:v>Liên kết và hàng lỗ</x:v>
      </x:c>
      <x:c r="C157" s="11" t="str">
        <x:v>joint_id</x:v>
      </x:c>
      <x:c r="D157" s="11" t="str">
        <x:v>Mã mối ghép</x:v>
      </x:c>
      <x:c r="E157" s="11" t="str">
        <x:v>Chuỗi</x:v>
      </x:c>
      <x:c r="F157" s="11" t="str"/>
      <x:c r="G157" s="16"/>
      <x:c r="H157" s="11" t="str">
        <x:v>Duy nhất</x:v>
      </x:c>
      <x:c r="I157" s="11" t="str">
        <x:v>Liên kết hai part ID</x:v>
      </x:c>
      <x:c r="J157" s="11" t="str">
        <x:v>Mối ghép</x:v>
      </x:c>
      <x:c r="K157" s="11" t="str">
        <x:v>P1</x:v>
      </x:c>
      <x:c r="L157" s="11" t="str">
        <x:v>Đề xuất T+; nguồn tham khảo khái niệm</x:v>
      </x:c>
      <x:c r="M157" s="11" t="str">
        <x:v>N05 N09 N24</x:v>
      </x:c>
      <x:c r="N157" s="14" t="str">
        <x:v>Chưa chọn</x:v>
      </x:c>
      <x:c r="O157" s="14"/>
      <x:c r="P157" s="14"/>
    </x:row>
    <x:row r="158" ht="42" customHeight="1">
      <x:c r="A158" s="12" t="str">
        <x:v>JOIN-02</x:v>
      </x:c>
      <x:c r="B158" s="10" t="str">
        <x:v>Liên kết và hàng lỗ</x:v>
      </x:c>
      <x:c r="C158" s="10" t="str">
        <x:v>joint_type</x:v>
      </x:c>
      <x:c r="D158" s="10" t="str">
        <x:v>Loại liên kết</x:v>
      </x:c>
      <x:c r="E158" s="10" t="str">
        <x:v>Danh sách</x:v>
      </x:c>
      <x:c r="F158" s="10" t="str"/>
      <x:c r="G158" s="15"/>
      <x:c r="H158" s="10" t="str">
        <x:v>Dowel; Confirmat; Cam; Cabineo; Dado</x:v>
      </x:c>
      <x:c r="I158" s="10" t="str">
        <x:v>Chọn theo năng lực máy</x:v>
      </x:c>
      <x:c r="J158" s="10" t="str">
        <x:v>Mối ghép</x:v>
      </x:c>
      <x:c r="K158" s="10" t="str">
        <x:v>P1</x:v>
      </x:c>
      <x:c r="L158" s="10" t="str">
        <x:v>Đề xuất T+; nguồn tham khảo khái niệm</x:v>
      </x:c>
      <x:c r="M158" s="10" t="str">
        <x:v>N05 N09 N24</x:v>
      </x:c>
      <x:c r="N158" s="14" t="str">
        <x:v>Chưa chọn</x:v>
      </x:c>
      <x:c r="O158" s="14"/>
      <x:c r="P158" s="14"/>
    </x:row>
    <x:row r="159" ht="42" customHeight="1">
      <x:c r="A159" s="13" t="str">
        <x:v>JOIN-03</x:v>
      </x:c>
      <x:c r="B159" s="11" t="str">
        <x:v>Liên kết và hàng lỗ</x:v>
      </x:c>
      <x:c r="C159" s="11" t="str">
        <x:v>connector_sku</x:v>
      </x:c>
      <x:c r="D159" s="11" t="str">
        <x:v>Mã bộ liên kết</x:v>
      </x:c>
      <x:c r="E159" s="11" t="str">
        <x:v>Chuỗi</x:v>
      </x:c>
      <x:c r="F159" s="11" t="str"/>
      <x:c r="G159" s="16"/>
      <x:c r="H159" s="11" t="str">
        <x:v>Theo hãng</x:v>
      </x:c>
      <x:c r="I159" s="11" t="str">
        <x:v>Bộ gồm nhiều chi tiết</x:v>
      </x:c>
      <x:c r="J159" s="11" t="str">
        <x:v>Mối ghép</x:v>
      </x:c>
      <x:c r="K159" s="11" t="str">
        <x:v>P1</x:v>
      </x:c>
      <x:c r="L159" s="11" t="str">
        <x:v>Đề xuất T+; nguồn tham khảo khái niệm</x:v>
      </x:c>
      <x:c r="M159" s="11" t="str">
        <x:v>N05 N09 N24</x:v>
      </x:c>
      <x:c r="N159" s="14" t="str">
        <x:v>Chưa chọn</x:v>
      </x:c>
      <x:c r="O159" s="14"/>
      <x:c r="P159" s="14"/>
    </x:row>
    <x:row r="160" ht="42" customHeight="1">
      <x:c r="A160" s="12" t="str">
        <x:v>JOIN-04</x:v>
      </x:c>
      <x:c r="B160" s="10" t="str">
        <x:v>Liên kết và hàng lỗ</x:v>
      </x:c>
      <x:c r="C160" s="10" t="str">
        <x:v>joint_pitch</x:v>
      </x:c>
      <x:c r="D160" s="10" t="str">
        <x:v>Bước liên kết</x:v>
      </x:c>
      <x:c r="E160" s="10" t="str">
        <x:v>Số</x:v>
      </x:c>
      <x:c r="F160" s="10" t="str">
        <x:v>mm</x:v>
      </x:c>
      <x:c r="G160" s="15"/>
      <x:c r="H160" s="10" t="str">
        <x:v>Theo xưởng và phụ kiện</x:v>
      </x:c>
      <x:c r="I160" s="10" t="str">
        <x:v>Không nhầm với bước hàng lỗ</x:v>
      </x:c>
      <x:c r="J160" s="10" t="str">
        <x:v>Mối ghép</x:v>
      </x:c>
      <x:c r="K160" s="10" t="str">
        <x:v>P1</x:v>
      </x:c>
      <x:c r="L160" s="10" t="str">
        <x:v>Đề xuất T+; nguồn tham khảo khái niệm</x:v>
      </x:c>
      <x:c r="M160" s="10" t="str">
        <x:v>N05 N09 N24</x:v>
      </x:c>
      <x:c r="N160" s="14" t="str">
        <x:v>Chưa chọn</x:v>
      </x:c>
      <x:c r="O160" s="14"/>
      <x:c r="P160" s="14"/>
    </x:row>
    <x:row r="161" ht="42" customHeight="1">
      <x:c r="A161" s="13" t="str">
        <x:v>JOIN-05</x:v>
      </x:c>
      <x:c r="B161" s="11" t="str">
        <x:v>Liên kết và hàng lỗ</x:v>
      </x:c>
      <x:c r="C161" s="11" t="str">
        <x:v>joint_end_offset</x:v>
      </x:c>
      <x:c r="D161" s="11" t="str">
        <x:v>Lùi đầu mối ghép</x:v>
      </x:c>
      <x:c r="E161" s="11" t="str">
        <x:v>Số</x:v>
      </x:c>
      <x:c r="F161" s="11" t="str">
        <x:v>mm</x:v>
      </x:c>
      <x:c r="G161" s="16"/>
      <x:c r="H161" s="11" t="str">
        <x:v>Theo profile</x:v>
      </x:c>
      <x:c r="I161" s="11" t="str">
        <x:v>Kiểm vùng cấm</x:v>
      </x:c>
      <x:c r="J161" s="11" t="str">
        <x:v>Mối ghép</x:v>
      </x:c>
      <x:c r="K161" s="11" t="str">
        <x:v>P1</x:v>
      </x:c>
      <x:c r="L161" s="11" t="str">
        <x:v>Đề xuất T+; nguồn tham khảo khái niệm</x:v>
      </x:c>
      <x:c r="M161" s="11" t="str">
        <x:v>N05 N09 N24</x:v>
      </x:c>
      <x:c r="N161" s="14" t="str">
        <x:v>Chưa chọn</x:v>
      </x:c>
      <x:c r="O161" s="14"/>
      <x:c r="P161" s="14"/>
    </x:row>
    <x:row r="162" ht="42" customHeight="1">
      <x:c r="A162" s="12" t="str">
        <x:v>JOIN-06</x:v>
      </x:c>
      <x:c r="B162" s="10" t="str">
        <x:v>Liên kết và hàng lỗ</x:v>
      </x:c>
      <x:c r="C162" s="10" t="str">
        <x:v>joint_count_rule</x:v>
      </x:c>
      <x:c r="D162" s="10" t="str">
        <x:v>Số liên kết</x:v>
      </x:c>
      <x:c r="E162" s="10" t="str">
        <x:v>Biểu thức</x:v>
      </x:c>
      <x:c r="F162" s="10" t="str"/>
      <x:c r="G162" s="15"/>
      <x:c r="H162" s="10" t="str">
        <x:v>Theo chiều dài tải và vật liệu</x:v>
      </x:c>
      <x:c r="I162" s="10" t="str">
        <x:v>Cần xưởng duyệt</x:v>
      </x:c>
      <x:c r="J162" s="10" t="str">
        <x:v>Mối ghép</x:v>
      </x:c>
      <x:c r="K162" s="10" t="str">
        <x:v>P1</x:v>
      </x:c>
      <x:c r="L162" s="10" t="str">
        <x:v>Đề xuất T+; nguồn tham khảo khái niệm</x:v>
      </x:c>
      <x:c r="M162" s="10" t="str">
        <x:v>N05 N09 N24</x:v>
      </x:c>
      <x:c r="N162" s="14" t="str">
        <x:v>Chưa chọn</x:v>
      </x:c>
      <x:c r="O162" s="14"/>
      <x:c r="P162" s="14"/>
    </x:row>
    <x:row r="163" ht="42" customHeight="1">
      <x:c r="A163" s="13" t="str">
        <x:v>JOIN-07</x:v>
      </x:c>
      <x:c r="B163" s="11" t="str">
        <x:v>Liên kết và hàng lỗ</x:v>
      </x:c>
      <x:c r="C163" s="11" t="str">
        <x:v>row_pitch</x:v>
      </x:c>
      <x:c r="D163" s="11" t="str">
        <x:v>Bước hàng lỗ</x:v>
      </x:c>
      <x:c r="E163" s="11" t="str">
        <x:v>Số</x:v>
      </x:c>
      <x:c r="F163" s="11" t="str">
        <x:v>mm</x:v>
      </x:c>
      <x:c r="G163" s="16"/>
      <x:c r="H163" s="11" t="str">
        <x:v>Hệ 32 hoặc tùy chỉnh</x:v>
      </x:c>
      <x:c r="I163" s="11" t="str">
        <x:v>32 chỉ khi chọn hệ tương ứng</x:v>
      </x:c>
      <x:c r="J163" s="11" t="str">
        <x:v>Mối ghép</x:v>
      </x:c>
      <x:c r="K163" s="11" t="str">
        <x:v>P1</x:v>
      </x:c>
      <x:c r="L163" s="11" t="str">
        <x:v>Đề xuất T+; nguồn tham khảo khái niệm</x:v>
      </x:c>
      <x:c r="M163" s="11" t="str">
        <x:v>N05 N09 N24</x:v>
      </x:c>
      <x:c r="N163" s="14" t="str">
        <x:v>Chưa chọn</x:v>
      </x:c>
      <x:c r="O163" s="14"/>
      <x:c r="P163" s="14"/>
    </x:row>
    <x:row r="164" ht="42" customHeight="1">
      <x:c r="A164" s="12" t="str">
        <x:v>JOIN-08</x:v>
      </x:c>
      <x:c r="B164" s="10" t="str">
        <x:v>Liên kết và hàng lỗ</x:v>
      </x:c>
      <x:c r="C164" s="10" t="str">
        <x:v>row_front_offset</x:v>
      </x:c>
      <x:c r="D164" s="10" t="str">
        <x:v>Lùi hàng lỗ trước</x:v>
      </x:c>
      <x:c r="E164" s="10" t="str">
        <x:v>Số</x:v>
      </x:c>
      <x:c r="F164" s="10" t="str">
        <x:v>mm</x:v>
      </x:c>
      <x:c r="G164" s="15"/>
      <x:c r="H164" s="10" t="str">
        <x:v>Theo hệ và phụ kiện</x:v>
      </x:c>
      <x:c r="I164" s="10" t="str">
        <x:v>Không cứng 37 cho mọi ứng dụng</x:v>
      </x:c>
      <x:c r="J164" s="10" t="str">
        <x:v>Mối ghép</x:v>
      </x:c>
      <x:c r="K164" s="10" t="str">
        <x:v>P1</x:v>
      </x:c>
      <x:c r="L164" s="10" t="str">
        <x:v>Đề xuất T+; nguồn tham khảo khái niệm</x:v>
      </x:c>
      <x:c r="M164" s="10" t="str">
        <x:v>N05 N09 N24</x:v>
      </x:c>
      <x:c r="N164" s="14" t="str">
        <x:v>Chưa chọn</x:v>
      </x:c>
      <x:c r="O164" s="14"/>
      <x:c r="P164" s="14"/>
    </x:row>
    <x:row r="165" ht="42" customHeight="1">
      <x:c r="A165" s="13" t="str">
        <x:v>JOIN-09</x:v>
      </x:c>
      <x:c r="B165" s="11" t="str">
        <x:v>Liên kết và hàng lỗ</x:v>
      </x:c>
      <x:c r="C165" s="11" t="str">
        <x:v>row_rear_offset</x:v>
      </x:c>
      <x:c r="D165" s="11" t="str">
        <x:v>Lùi hàng lỗ sau</x:v>
      </x:c>
      <x:c r="E165" s="11" t="str">
        <x:v>Số</x:v>
      </x:c>
      <x:c r="F165" s="11" t="str">
        <x:v>mm</x:v>
      </x:c>
      <x:c r="G165" s="16"/>
      <x:c r="H165" s="11" t="str">
        <x:v>Theo hệ</x:v>
      </x:c>
      <x:c r="I165" s="11" t="str">
        <x:v>Theo mốc cạnh đã định nghĩa</x:v>
      </x:c>
      <x:c r="J165" s="11" t="str">
        <x:v>Mối ghép</x:v>
      </x:c>
      <x:c r="K165" s="11" t="str">
        <x:v>P1</x:v>
      </x:c>
      <x:c r="L165" s="11" t="str">
        <x:v>Đề xuất T+; nguồn tham khảo khái niệm</x:v>
      </x:c>
      <x:c r="M165" s="11" t="str">
        <x:v>N05 N09 N24</x:v>
      </x:c>
      <x:c r="N165" s="14" t="str">
        <x:v>Chưa chọn</x:v>
      </x:c>
      <x:c r="O165" s="14"/>
      <x:c r="P165" s="14"/>
    </x:row>
    <x:row r="166" ht="42" customHeight="1">
      <x:c r="A166" s="12" t="str">
        <x:v>JOIN-10</x:v>
      </x:c>
      <x:c r="B166" s="10" t="str">
        <x:v>Liên kết và hàng lỗ</x:v>
      </x:c>
      <x:c r="C166" s="10" t="str">
        <x:v>row_hole_diameter</x:v>
      </x:c>
      <x:c r="D166" s="10" t="str">
        <x:v>Đường kính hàng lỗ</x:v>
      </x:c>
      <x:c r="E166" s="10" t="str">
        <x:v>Số</x:v>
      </x:c>
      <x:c r="F166" s="10" t="str">
        <x:v>mm</x:v>
      </x:c>
      <x:c r="G166" s="15"/>
      <x:c r="H166" s="10" t="str">
        <x:v>Theo chốt và hệ</x:v>
      </x:c>
      <x:c r="I166" s="10" t="str">
        <x:v>Kiểm đúng dao</x:v>
      </x:c>
      <x:c r="J166" s="10" t="str">
        <x:v>Mối ghép</x:v>
      </x:c>
      <x:c r="K166" s="10" t="str">
        <x:v>P1</x:v>
      </x:c>
      <x:c r="L166" s="10" t="str">
        <x:v>Đề xuất T+; nguồn tham khảo khái niệm</x:v>
      </x:c>
      <x:c r="M166" s="10" t="str">
        <x:v>N05 N09 N24</x:v>
      </x:c>
      <x:c r="N166" s="14" t="str">
        <x:v>Chưa chọn</x:v>
      </x:c>
      <x:c r="O166" s="14"/>
      <x:c r="P166" s="14"/>
    </x:row>
    <x:row r="167" ht="42" customHeight="1">
      <x:c r="A167" s="13" t="str">
        <x:v>JOIN-11</x:v>
      </x:c>
      <x:c r="B167" s="11" t="str">
        <x:v>Liên kết và hàng lỗ</x:v>
      </x:c>
      <x:c r="C167" s="11" t="str">
        <x:v>row_hole_depth</x:v>
      </x:c>
      <x:c r="D167" s="11" t="str">
        <x:v>Chiều sâu hàng lỗ</x:v>
      </x:c>
      <x:c r="E167" s="11" t="str">
        <x:v>Số</x:v>
      </x:c>
      <x:c r="F167" s="11" t="str">
        <x:v>mm</x:v>
      </x:c>
      <x:c r="G167" s="16"/>
      <x:c r="H167" s="11" t="str">
        <x:v>Theo chốt và tấm</x:v>
      </x:c>
      <x:c r="I167" s="11" t="str">
        <x:v>Tránh xuyên mặt đẹp</x:v>
      </x:c>
      <x:c r="J167" s="11" t="str">
        <x:v>Mối ghép</x:v>
      </x:c>
      <x:c r="K167" s="11" t="str">
        <x:v>P1</x:v>
      </x:c>
      <x:c r="L167" s="11" t="str">
        <x:v>Đề xuất T+; nguồn tham khảo khái niệm</x:v>
      </x:c>
      <x:c r="M167" s="11" t="str">
        <x:v>N05 N09 N24</x:v>
      </x:c>
      <x:c r="N167" s="14" t="str">
        <x:v>Chưa chọn</x:v>
      </x:c>
      <x:c r="O167" s="14"/>
      <x:c r="P167" s="14"/>
    </x:row>
    <x:row r="168" ht="42" customHeight="1">
      <x:c r="A168" s="12" t="str">
        <x:v>JOIN-12</x:v>
      </x:c>
      <x:c r="B168" s="10" t="str">
        <x:v>Liên kết và hàng lỗ</x:v>
      </x:c>
      <x:c r="C168" s="10" t="str">
        <x:v>dado_fit_allowance</x:v>
      </x:c>
      <x:c r="D168" s="10" t="str">
        <x:v>Dung sai lắp rãnh</x:v>
      </x:c>
      <x:c r="E168" s="10" t="str">
        <x:v>Số</x:v>
      </x:c>
      <x:c r="F168" s="10" t="str">
        <x:v>mm</x:v>
      </x:c>
      <x:c r="G168" s="15"/>
      <x:c r="H168" s="10" t="str">
        <x:v>Theo đo thử</x:v>
      </x:c>
      <x:c r="I168" s="10" t="str">
        <x:v>Tính với dày thực</x:v>
      </x:c>
      <x:c r="J168" s="10" t="str">
        <x:v>Mối ghép</x:v>
      </x:c>
      <x:c r="K168" s="10" t="str">
        <x:v>P1</x:v>
      </x:c>
      <x:c r="L168" s="10" t="str">
        <x:v>Đề xuất T+; nguồn tham khảo khái niệm</x:v>
      </x:c>
      <x:c r="M168" s="10" t="str">
        <x:v>N05 N09 N24</x:v>
      </x:c>
      <x:c r="N168" s="14" t="str">
        <x:v>Chưa chọn</x:v>
      </x:c>
      <x:c r="O168" s="14"/>
      <x:c r="P168" s="14"/>
    </x:row>
    <x:row r="169" ht="42" customHeight="1">
      <x:c r="A169" s="13" t="str">
        <x:v>JOIN-13</x:v>
      </x:c>
      <x:c r="B169" s="11" t="str">
        <x:v>Liên kết và hàng lỗ</x:v>
      </x:c>
      <x:c r="C169" s="11" t="str">
        <x:v>joint_side_assignment</x:v>
      </x:c>
      <x:c r="D169" s="11" t="str">
        <x:v>Phân mặt khoan mối ghép</x:v>
      </x:c>
      <x:c r="E169" s="11" t="str">
        <x:v>Cấu trúc</x:v>
      </x:c>
      <x:c r="F169" s="11" t="str"/>
      <x:c r="G169" s="16"/>
      <x:c r="H169" s="11" t="str">
        <x:v>Part chủ và part nhận</x:v>
      </x:c>
      <x:c r="I169" s="11" t="str">
        <x:v>Hai bên phải khớp tọa độ</x:v>
      </x:c>
      <x:c r="J169" s="11" t="str">
        <x:v>Mối ghép</x:v>
      </x:c>
      <x:c r="K169" s="11" t="str">
        <x:v>P1</x:v>
      </x:c>
      <x:c r="L169" s="11" t="str">
        <x:v>Đề xuất T+; nguồn tham khảo khái niệm</x:v>
      </x:c>
      <x:c r="M169" s="11" t="str">
        <x:v>N05 N09 N24</x:v>
      </x:c>
      <x:c r="N169" s="14" t="str">
        <x:v>Chưa chọn</x:v>
      </x:c>
      <x:c r="O169" s="14"/>
      <x:c r="P169" s="14"/>
    </x:row>
    <x:row r="170" ht="42" customHeight="1">
      <x:c r="A170" s="12" t="str">
        <x:v>OP-01</x:v>
      </x:c>
      <x:c r="B170" s="10" t="str">
        <x:v>Nguyên công</x:v>
      </x:c>
      <x:c r="C170" s="10" t="str">
        <x:v>operation_id</x:v>
      </x:c>
      <x:c r="D170" s="10" t="str">
        <x:v>Mã nguyên công</x:v>
      </x:c>
      <x:c r="E170" s="10" t="str">
        <x:v>Chuỗi</x:v>
      </x:c>
      <x:c r="F170" s="10" t="str"/>
      <x:c r="G170" s="15"/>
      <x:c r="H170" s="10" t="str">
        <x:v>Duy nhất trong part revision</x:v>
      </x:c>
      <x:c r="I170" s="10" t="str">
        <x:v>Không mất ID khi render lại</x:v>
      </x:c>
      <x:c r="J170" s="10" t="str">
        <x:v>Nguyên công</x:v>
      </x:c>
      <x:c r="K170" s="10" t="str">
        <x:v>P1</x:v>
      </x:c>
      <x:c r="L170" s="10" t="str">
        <x:v>Đề xuất T+; nguồn tham khảo khái niệm</x:v>
      </x:c>
      <x:c r="M170" s="10" t="str">
        <x:v>N06 N17 N18</x:v>
      </x:c>
      <x:c r="N170" s="14" t="str">
        <x:v>Chưa chọn</x:v>
      </x:c>
      <x:c r="O170" s="14"/>
      <x:c r="P170" s="14"/>
    </x:row>
    <x:row r="171" ht="42" customHeight="1">
      <x:c r="A171" s="13" t="str">
        <x:v>OP-02</x:v>
      </x:c>
      <x:c r="B171" s="11" t="str">
        <x:v>Nguyên công</x:v>
      </x:c>
      <x:c r="C171" s="11" t="str">
        <x:v>operation_type</x:v>
      </x:c>
      <x:c r="D171" s="11" t="str">
        <x:v>Loại nguyên công</x:v>
      </x:c>
      <x:c r="E171" s="11" t="str">
        <x:v>Danh sách</x:v>
      </x:c>
      <x:c r="F171" s="11" t="str"/>
      <x:c r="G171" s="16"/>
      <x:c r="H171" s="11" t="str">
        <x:v>Drill; Groove; Pocket; Contour; Saw</x:v>
      </x:c>
      <x:c r="I171" s="11" t="str">
        <x:v>Không suy hoàn toàn từ hình mesh</x:v>
      </x:c>
      <x:c r="J171" s="11" t="str">
        <x:v>Nguyên công</x:v>
      </x:c>
      <x:c r="K171" s="11" t="str">
        <x:v>P1</x:v>
      </x:c>
      <x:c r="L171" s="11" t="str">
        <x:v>Đề xuất T+; nguồn tham khảo khái niệm</x:v>
      </x:c>
      <x:c r="M171" s="11" t="str">
        <x:v>N06 N17 N18</x:v>
      </x:c>
      <x:c r="N171" s="14" t="str">
        <x:v>Chưa chọn</x:v>
      </x:c>
      <x:c r="O171" s="14"/>
      <x:c r="P171" s="14"/>
    </x:row>
    <x:row r="172" ht="42" customHeight="1">
      <x:c r="A172" s="12" t="str">
        <x:v>OP-03</x:v>
      </x:c>
      <x:c r="B172" s="10" t="str">
        <x:v>Nguyên công</x:v>
      </x:c>
      <x:c r="C172" s="10" t="str">
        <x:v>operation_face</x:v>
      </x:c>
      <x:c r="D172" s="10" t="str">
        <x:v>Mặt gia công</x:v>
      </x:c>
      <x:c r="E172" s="10" t="str">
        <x:v>Danh sách</x:v>
      </x:c>
      <x:c r="F172" s="10" t="str"/>
      <x:c r="G172" s="15"/>
      <x:c r="H172" s="10" t="str">
        <x:v>A; B; Umin; Umax; Vmin; Vmax</x:v>
      </x:c>
      <x:c r="I172" s="10" t="str">
        <x:v>Giữ qua xoay và lật</x:v>
      </x:c>
      <x:c r="J172" s="10" t="str">
        <x:v>Nguyên công</x:v>
      </x:c>
      <x:c r="K172" s="10" t="str">
        <x:v>P1</x:v>
      </x:c>
      <x:c r="L172" s="10" t="str">
        <x:v>Đề xuất T+; nguồn tham khảo khái niệm</x:v>
      </x:c>
      <x:c r="M172" s="10" t="str">
        <x:v>N06 N17 N18</x:v>
      </x:c>
      <x:c r="N172" s="14" t="str">
        <x:v>Chưa chọn</x:v>
      </x:c>
      <x:c r="O172" s="14"/>
      <x:c r="P172" s="14"/>
    </x:row>
    <x:row r="173" ht="42" customHeight="1">
      <x:c r="A173" s="13" t="str">
        <x:v>OP-04</x:v>
      </x:c>
      <x:c r="B173" s="11" t="str">
        <x:v>Nguyên công</x:v>
      </x:c>
      <x:c r="C173" s="11" t="str">
        <x:v>operation_u</x:v>
      </x:c>
      <x:c r="D173" s="11" t="str">
        <x:v>Tọa độ U</x:v>
      </x:c>
      <x:c r="E173" s="11" t="str">
        <x:v>Số</x:v>
      </x:c>
      <x:c r="F173" s="11" t="str">
        <x:v>mm</x:v>
      </x:c>
      <x:c r="G173" s="16"/>
      <x:c r="H173" s="11" t="str">
        <x:v>Trong hệ local tấm</x:v>
      </x:c>
      <x:c r="I173" s="11" t="str">
        <x:v>Không lấy world X</x:v>
      </x:c>
      <x:c r="J173" s="11" t="str">
        <x:v>Nguyên công</x:v>
      </x:c>
      <x:c r="K173" s="11" t="str">
        <x:v>P1</x:v>
      </x:c>
      <x:c r="L173" s="11" t="str">
        <x:v>Đề xuất T+; nguồn tham khảo khái niệm</x:v>
      </x:c>
      <x:c r="M173" s="11" t="str">
        <x:v>N06 N17 N18</x:v>
      </x:c>
      <x:c r="N173" s="14" t="str">
        <x:v>Chưa chọn</x:v>
      </x:c>
      <x:c r="O173" s="14"/>
      <x:c r="P173" s="14"/>
    </x:row>
    <x:row r="174" ht="42" customHeight="1">
      <x:c r="A174" s="12" t="str">
        <x:v>OP-05</x:v>
      </x:c>
      <x:c r="B174" s="10" t="str">
        <x:v>Nguyên công</x:v>
      </x:c>
      <x:c r="C174" s="10" t="str">
        <x:v>operation_v</x:v>
      </x:c>
      <x:c r="D174" s="10" t="str">
        <x:v>Tọa độ V</x:v>
      </x:c>
      <x:c r="E174" s="10" t="str">
        <x:v>Số</x:v>
      </x:c>
      <x:c r="F174" s="10" t="str">
        <x:v>mm</x:v>
      </x:c>
      <x:c r="G174" s="15"/>
      <x:c r="H174" s="10" t="str">
        <x:v>Trong hệ local tấm</x:v>
      </x:c>
      <x:c r="I174" s="10" t="str">
        <x:v>Không lấy world Y</x:v>
      </x:c>
      <x:c r="J174" s="10" t="str">
        <x:v>Nguyên công</x:v>
      </x:c>
      <x:c r="K174" s="10" t="str">
        <x:v>P1</x:v>
      </x:c>
      <x:c r="L174" s="10" t="str">
        <x:v>Đề xuất T+; nguồn tham khảo khái niệm</x:v>
      </x:c>
      <x:c r="M174" s="10" t="str">
        <x:v>N06 N17 N18</x:v>
      </x:c>
      <x:c r="N174" s="14" t="str">
        <x:v>Chưa chọn</x:v>
      </x:c>
      <x:c r="O174" s="14"/>
      <x:c r="P174" s="14"/>
    </x:row>
    <x:row r="175" ht="42" customHeight="1">
      <x:c r="A175" s="13" t="str">
        <x:v>OP-06</x:v>
      </x:c>
      <x:c r="B175" s="11" t="str">
        <x:v>Nguyên công</x:v>
      </x:c>
      <x:c r="C175" s="11" t="str">
        <x:v>operation_depth</x:v>
      </x:c>
      <x:c r="D175" s="11" t="str">
        <x:v>Chiều sâu gia công</x:v>
      </x:c>
      <x:c r="E175" s="11" t="str">
        <x:v>Số</x:v>
      </x:c>
      <x:c r="F175" s="11" t="str">
        <x:v>mm</x:v>
      </x:c>
      <x:c r="G175" s="16"/>
      <x:c r="H175" s="11" t="str">
        <x:v>Lớn hơn 0</x:v>
      </x:c>
      <x:c r="I175" s="11" t="str">
        <x:v>Mốc mặt được ghi riêng</x:v>
      </x:c>
      <x:c r="J175" s="11" t="str">
        <x:v>Nguyên công</x:v>
      </x:c>
      <x:c r="K175" s="11" t="str">
        <x:v>P1</x:v>
      </x:c>
      <x:c r="L175" s="11" t="str">
        <x:v>Đề xuất T+; nguồn tham khảo khái niệm</x:v>
      </x:c>
      <x:c r="M175" s="11" t="str">
        <x:v>N06 N17 N18</x:v>
      </x:c>
      <x:c r="N175" s="14" t="str">
        <x:v>Chưa chọn</x:v>
      </x:c>
      <x:c r="O175" s="14"/>
      <x:c r="P175" s="14"/>
    </x:row>
    <x:row r="176" ht="42" customHeight="1">
      <x:c r="A176" s="12" t="str">
        <x:v>OP-07</x:v>
      </x:c>
      <x:c r="B176" s="10" t="str">
        <x:v>Nguyên công</x:v>
      </x:c>
      <x:c r="C176" s="10" t="str">
        <x:v>operation_diameter</x:v>
      </x:c>
      <x:c r="D176" s="10" t="str">
        <x:v>Đường kính lỗ</x:v>
      </x:c>
      <x:c r="E176" s="10" t="str">
        <x:v>Số</x:v>
      </x:c>
      <x:c r="F176" s="10" t="str">
        <x:v>mm</x:v>
      </x:c>
      <x:c r="G176" s="15"/>
      <x:c r="H176" s="10" t="str">
        <x:v>Lớn hơn 0</x:v>
      </x:c>
      <x:c r="I176" s="10" t="str">
        <x:v>Phân biệt khoan và nội suy</x:v>
      </x:c>
      <x:c r="J176" s="10" t="str">
        <x:v>Nguyên công</x:v>
      </x:c>
      <x:c r="K176" s="10" t="str">
        <x:v>P1</x:v>
      </x:c>
      <x:c r="L176" s="10" t="str">
        <x:v>Đề xuất T+; nguồn tham khảo khái niệm</x:v>
      </x:c>
      <x:c r="M176" s="10" t="str">
        <x:v>N06 N17 N18</x:v>
      </x:c>
      <x:c r="N176" s="14" t="str">
        <x:v>Chưa chọn</x:v>
      </x:c>
      <x:c r="O176" s="14"/>
      <x:c r="P176" s="14"/>
    </x:row>
    <x:row r="177" ht="42" customHeight="1">
      <x:c r="A177" s="13" t="str">
        <x:v>OP-08</x:v>
      </x:c>
      <x:c r="B177" s="11" t="str">
        <x:v>Nguyên công</x:v>
      </x:c>
      <x:c r="C177" s="11" t="str">
        <x:v>operation_width</x:v>
      </x:c>
      <x:c r="D177" s="11" t="str">
        <x:v>Rộng rãnh</x:v>
      </x:c>
      <x:c r="E177" s="11" t="str">
        <x:v>Số</x:v>
      </x:c>
      <x:c r="F177" s="11" t="str">
        <x:v>mm</x:v>
      </x:c>
      <x:c r="G177" s="16"/>
      <x:c r="H177" s="11" t="str">
        <x:v>Lớn hơn 0</x:v>
      </x:c>
      <x:c r="I177" s="11" t="str">
        <x:v>So dao thực tế</x:v>
      </x:c>
      <x:c r="J177" s="11" t="str">
        <x:v>Nguyên công</x:v>
      </x:c>
      <x:c r="K177" s="11" t="str">
        <x:v>P1</x:v>
      </x:c>
      <x:c r="L177" s="11" t="str">
        <x:v>Đề xuất T+; nguồn tham khảo khái niệm</x:v>
      </x:c>
      <x:c r="M177" s="11" t="str">
        <x:v>N06 N17 N18</x:v>
      </x:c>
      <x:c r="N177" s="14" t="str">
        <x:v>Chưa chọn</x:v>
      </x:c>
      <x:c r="O177" s="14"/>
      <x:c r="P177" s="14"/>
    </x:row>
    <x:row r="178" ht="42" customHeight="1">
      <x:c r="A178" s="12" t="str">
        <x:v>OP-09</x:v>
      </x:c>
      <x:c r="B178" s="10" t="str">
        <x:v>Nguyên công</x:v>
      </x:c>
      <x:c r="C178" s="10" t="str">
        <x:v>operation_length</x:v>
      </x:c>
      <x:c r="D178" s="10" t="str">
        <x:v>Dài rãnh</x:v>
      </x:c>
      <x:c r="E178" s="10" t="str">
        <x:v>Số</x:v>
      </x:c>
      <x:c r="F178" s="10" t="str">
        <x:v>mm</x:v>
      </x:c>
      <x:c r="G178" s="15"/>
      <x:c r="H178" s="10" t="str">
        <x:v>Lớn hơn 0</x:v>
      </x:c>
      <x:c r="I178" s="10" t="str">
        <x:v>Kiểm đầu kín hay thông</x:v>
      </x:c>
      <x:c r="J178" s="10" t="str">
        <x:v>Nguyên công</x:v>
      </x:c>
      <x:c r="K178" s="10" t="str">
        <x:v>P1</x:v>
      </x:c>
      <x:c r="L178" s="10" t="str">
        <x:v>Đề xuất T+; nguồn tham khảo khái niệm</x:v>
      </x:c>
      <x:c r="M178" s="10" t="str">
        <x:v>N06 N17 N18</x:v>
      </x:c>
      <x:c r="N178" s="14" t="str">
        <x:v>Chưa chọn</x:v>
      </x:c>
      <x:c r="O178" s="14"/>
      <x:c r="P178" s="14"/>
    </x:row>
    <x:row r="179" ht="42" customHeight="1">
      <x:c r="A179" s="13" t="str">
        <x:v>OP-10</x:v>
      </x:c>
      <x:c r="B179" s="11" t="str">
        <x:v>Nguyên công</x:v>
      </x:c>
      <x:c r="C179" s="11" t="str">
        <x:v>operation_profile</x:v>
      </x:c>
      <x:c r="D179" s="11" t="str">
        <x:v>Biên dạng gia công</x:v>
      </x:c>
      <x:c r="E179" s="11" t="str">
        <x:v>Hình học</x:v>
      </x:c>
      <x:c r="F179" s="11" t="str"/>
      <x:c r="G179" s="16"/>
      <x:c r="H179" s="11" t="str">
        <x:v>Đường kín hoặc đường mở hợp lệ</x:v>
      </x:c>
      <x:c r="I179" s="11" t="str">
        <x:v>Giữ lỗ trong và cung</x:v>
      </x:c>
      <x:c r="J179" s="11" t="str">
        <x:v>Nguyên công</x:v>
      </x:c>
      <x:c r="K179" s="11" t="str">
        <x:v>P1</x:v>
      </x:c>
      <x:c r="L179" s="11" t="str">
        <x:v>Đề xuất T+; nguồn tham khảo khái niệm</x:v>
      </x:c>
      <x:c r="M179" s="11" t="str">
        <x:v>N06 N17 N18</x:v>
      </x:c>
      <x:c r="N179" s="14" t="str">
        <x:v>Chưa chọn</x:v>
      </x:c>
      <x:c r="O179" s="14"/>
      <x:c r="P179" s="14"/>
    </x:row>
    <x:row r="180" ht="42" customHeight="1">
      <x:c r="A180" s="12" t="str">
        <x:v>OP-11</x:v>
      </x:c>
      <x:c r="B180" s="10" t="str">
        <x:v>Nguyên công</x:v>
      </x:c>
      <x:c r="C180" s="10" t="str">
        <x:v>operation_through</x:v>
      </x:c>
      <x:c r="D180" s="10" t="str">
        <x:v>Gia công xuyên</x:v>
      </x:c>
      <x:c r="E180" s="10" t="str">
        <x:v>Boolean</x:v>
      </x:c>
      <x:c r="F180" s="10" t="str"/>
      <x:c r="G180" s="15" t="str">
        <x:v>False</x:v>
      </x:c>
      <x:c r="H180" s="10" t="str">
        <x:v>True; False</x:v>
      </x:c>
      <x:c r="I180" s="10" t="str">
        <x:v>Không suy chỉ từ depth gần thickness</x:v>
      </x:c>
      <x:c r="J180" s="10" t="str">
        <x:v>Nguyên công</x:v>
      </x:c>
      <x:c r="K180" s="10" t="str">
        <x:v>P1</x:v>
      </x:c>
      <x:c r="L180" s="10" t="str">
        <x:v>Đề xuất T+; nguồn tham khảo khái niệm</x:v>
      </x:c>
      <x:c r="M180" s="10" t="str">
        <x:v>N06 N17 N18</x:v>
      </x:c>
      <x:c r="N180" s="14" t="str">
        <x:v>Chưa chọn</x:v>
      </x:c>
      <x:c r="O180" s="14"/>
      <x:c r="P180" s="14"/>
    </x:row>
    <x:row r="181" ht="42" customHeight="1">
      <x:c r="A181" s="13" t="str">
        <x:v>OP-12</x:v>
      </x:c>
      <x:c r="B181" s="11" t="str">
        <x:v>Nguyên công</x:v>
      </x:c>
      <x:c r="C181" s="11" t="str">
        <x:v>operation_tool_id</x:v>
      </x:c>
      <x:c r="D181" s="11" t="str">
        <x:v>Dao được chỉ định</x:v>
      </x:c>
      <x:c r="E181" s="11" t="str">
        <x:v>Tham chiếu</x:v>
      </x:c>
      <x:c r="F181" s="11" t="str"/>
      <x:c r="G181" s="16"/>
      <x:c r="H181" s="11" t="str">
        <x:v>Hồ sơ dao đã duyệt</x:v>
      </x:c>
      <x:c r="I181" s="11" t="str">
        <x:v>Chặn khi thiếu dao</x:v>
      </x:c>
      <x:c r="J181" s="11" t="str">
        <x:v>Nguyên công</x:v>
      </x:c>
      <x:c r="K181" s="11" t="str">
        <x:v>P1</x:v>
      </x:c>
      <x:c r="L181" s="11" t="str">
        <x:v>Đề xuất T+; nguồn tham khảo khái niệm</x:v>
      </x:c>
      <x:c r="M181" s="11" t="str">
        <x:v>N06 N17 N18</x:v>
      </x:c>
      <x:c r="N181" s="14" t="str">
        <x:v>Chưa chọn</x:v>
      </x:c>
      <x:c r="O181" s="14"/>
      <x:c r="P181" s="14"/>
    </x:row>
    <x:row r="182" ht="42" customHeight="1">
      <x:c r="A182" s="12" t="str">
        <x:v>OP-13</x:v>
      </x:c>
      <x:c r="B182" s="10" t="str">
        <x:v>Nguyên công</x:v>
      </x:c>
      <x:c r="C182" s="10" t="str">
        <x:v>operation_reference_stage</x:v>
      </x:c>
      <x:c r="D182" s="10" t="str">
        <x:v>Chuẩn trước hay sau dán</x:v>
      </x:c>
      <x:c r="E182" s="10" t="str">
        <x:v>Danh sách</x:v>
      </x:c>
      <x:c r="F182" s="10" t="str"/>
      <x:c r="G182" s="15"/>
      <x:c r="H182" s="10" t="str">
        <x:v>Core; Finished; Blank</x:v>
      </x:c>
      <x:c r="I182" s="10" t="str">
        <x:v>Chuyển mốc có quy tắc</x:v>
      </x:c>
      <x:c r="J182" s="10" t="str">
        <x:v>Nguyên công</x:v>
      </x:c>
      <x:c r="K182" s="10" t="str">
        <x:v>P1</x:v>
      </x:c>
      <x:c r="L182" s="10" t="str">
        <x:v>Đề xuất T+; nguồn tham khảo khái niệm</x:v>
      </x:c>
      <x:c r="M182" s="10" t="str">
        <x:v>N06 N17 N18</x:v>
      </x:c>
      <x:c r="N182" s="14" t="str">
        <x:v>Chưa chọn</x:v>
      </x:c>
      <x:c r="O182" s="14"/>
      <x:c r="P182" s="14"/>
    </x:row>
    <x:row r="183" ht="42" customHeight="1">
      <x:c r="A183" s="13" t="str">
        <x:v>OP-14</x:v>
      </x:c>
      <x:c r="B183" s="11" t="str">
        <x:v>Nguyên công</x:v>
      </x:c>
      <x:c r="C183" s="11" t="str">
        <x:v>operation_owner</x:v>
      </x:c>
      <x:c r="D183" s="11" t="str">
        <x:v>Nguồn sinh nguyên công</x:v>
      </x:c>
      <x:c r="E183" s="11" t="str">
        <x:v>Danh sách</x:v>
      </x:c>
      <x:c r="F183" s="11" t="str"/>
      <x:c r="G183" s="16" t="str">
        <x:v>Rule</x:v>
      </x:c>
      <x:c r="H183" s="11" t="str">
        <x:v>Rule; Hardware; Manual</x:v>
      </x:c>
      <x:c r="I183" s="11" t="str">
        <x:v>Manual override được ghi nhận</x:v>
      </x:c>
      <x:c r="J183" s="11" t="str">
        <x:v>Nguyên công</x:v>
      </x:c>
      <x:c r="K183" s="11" t="str">
        <x:v>P1</x:v>
      </x:c>
      <x:c r="L183" s="11" t="str">
        <x:v>Đề xuất T+; nguồn tham khảo khái niệm</x:v>
      </x:c>
      <x:c r="M183" s="11" t="str">
        <x:v>N06 N17 N18</x:v>
      </x:c>
      <x:c r="N183" s="14" t="str">
        <x:v>Chưa chọn</x:v>
      </x:c>
      <x:c r="O183" s="14"/>
      <x:c r="P183" s="14"/>
    </x:row>
    <x:row r="184" ht="42" customHeight="1">
      <x:c r="A184" s="12" t="str">
        <x:v>OP-15</x:v>
      </x:c>
      <x:c r="B184" s="10" t="str">
        <x:v>Nguyên công</x:v>
      </x:c>
      <x:c r="C184" s="10" t="str">
        <x:v>operation_sequence</x:v>
      </x:c>
      <x:c r="D184" s="10" t="str">
        <x:v>Ưu tiên nguyên công</x:v>
      </x:c>
      <x:c r="E184" s="10" t="str">
        <x:v>Số nguyên</x:v>
      </x:c>
      <x:c r="F184" s="10" t="str"/>
      <x:c r="G184" s="15"/>
      <x:c r="H184" s="10" t="str">
        <x:v>Theo quy trình</x:v>
      </x:c>
      <x:c r="I184" s="10" t="str">
        <x:v>Không cắt rời trước khi giữ phôi đủ</x:v>
      </x:c>
      <x:c r="J184" s="10" t="str">
        <x:v>Nguyên công</x:v>
      </x:c>
      <x:c r="K184" s="10" t="str">
        <x:v>P1</x:v>
      </x:c>
      <x:c r="L184" s="10" t="str">
        <x:v>Đề xuất T+; nguồn tham khảo khái niệm</x:v>
      </x:c>
      <x:c r="M184" s="10" t="str">
        <x:v>N06 N17 N18</x:v>
      </x:c>
      <x:c r="N184" s="14" t="str">
        <x:v>Chưa chọn</x:v>
      </x:c>
      <x:c r="O184" s="14"/>
      <x:c r="P184" s="14"/>
    </x:row>
    <x:row r="185" ht="42" customHeight="1">
      <x:c r="A185" s="13" t="str">
        <x:v>OP-16</x:v>
      </x:c>
      <x:c r="B185" s="11" t="str">
        <x:v>Nguyên công</x:v>
      </x:c>
      <x:c r="C185" s="11" t="str">
        <x:v>operation_tolerance</x:v>
      </x:c>
      <x:c r="D185" s="11" t="str">
        <x:v>Dung sai nguyên công</x:v>
      </x:c>
      <x:c r="E185" s="11" t="str">
        <x:v>Số</x:v>
      </x:c>
      <x:c r="F185" s="11" t="str">
        <x:v>mm</x:v>
      </x:c>
      <x:c r="G185" s="16"/>
      <x:c r="H185" s="11" t="str">
        <x:v>Theo bản vẽ</x:v>
      </x:c>
      <x:c r="I185" s="11" t="str">
        <x:v>Tách khỏi độ phân đoạn cung</x:v>
      </x:c>
      <x:c r="J185" s="11" t="str">
        <x:v>Nguyên công</x:v>
      </x:c>
      <x:c r="K185" s="11" t="str">
        <x:v>P1</x:v>
      </x:c>
      <x:c r="L185" s="11" t="str">
        <x:v>Đề xuất T+; nguồn tham khảo khái niệm</x:v>
      </x:c>
      <x:c r="M185" s="11" t="str">
        <x:v>N06 N17 N18</x:v>
      </x:c>
      <x:c r="N185" s="14" t="str">
        <x:v>Chưa chọn</x:v>
      </x:c>
      <x:c r="O185" s="14"/>
      <x:c r="P185" s="14"/>
    </x:row>
    <x:row r="186" ht="42" customHeight="1">
      <x:c r="A186" s="12" t="str">
        <x:v>OP-17</x:v>
      </x:c>
      <x:c r="B186" s="10" t="str">
        <x:v>Nguyên công</x:v>
      </x:c>
      <x:c r="C186" s="10" t="str">
        <x:v>operation_status</x:v>
      </x:c>
      <x:c r="D186" s="10" t="str">
        <x:v>Trạng thái nguyên công</x:v>
      </x:c>
      <x:c r="E186" s="10" t="str">
        <x:v>Danh sách</x:v>
      </x:c>
      <x:c r="F186" s="10" t="str"/>
      <x:c r="G186" s="15" t="str">
        <x:v>Unverified</x:v>
      </x:c>
      <x:c r="H186" s="10" t="str">
        <x:v>Unverified; Approved; Blocked</x:v>
      </x:c>
      <x:c r="I186" s="10" t="str">
        <x:v>Không xuất NC khi chưa duyệt</x:v>
      </x:c>
      <x:c r="J186" s="10" t="str">
        <x:v>Nguyên công</x:v>
      </x:c>
      <x:c r="K186" s="10" t="str">
        <x:v>P1</x:v>
      </x:c>
      <x:c r="L186" s="10" t="str">
        <x:v>Đề xuất T+; nguồn tham khảo khái niệm</x:v>
      </x:c>
      <x:c r="M186" s="10" t="str">
        <x:v>N06 N17 N18</x:v>
      </x:c>
      <x:c r="N186" s="14" t="str">
        <x:v>Chưa chọn</x:v>
      </x:c>
      <x:c r="O186" s="14"/>
      <x:c r="P186" s="14"/>
    </x:row>
    <x:row r="187" ht="42" customHeight="1">
      <x:c r="A187" s="13" t="str">
        <x:v>NEST-01</x:v>
      </x:c>
      <x:c r="B187" s="11" t="str">
        <x:v>Xếp ván</x:v>
      </x:c>
      <x:c r="C187" s="11" t="str">
        <x:v>nest_mode</x:v>
      </x:c>
      <x:c r="D187" s="11" t="str">
        <x:v>Loại xếp ván</x:v>
      </x:c>
      <x:c r="E187" s="11" t="str">
        <x:v>Danh sách</x:v>
      </x:c>
      <x:c r="F187" s="11" t="str"/>
      <x:c r="G187" s="16" t="str">
        <x:v>Guillotine</x:v>
      </x:c>
      <x:c r="H187" s="11" t="str">
        <x:v>Guillotine; Rectangular_router; True_shape</x:v>
      </x:c>
      <x:c r="I187" s="11" t="str">
        <x:v>Theo máy cưa hoặc router</x:v>
      </x:c>
      <x:c r="J187" s="11" t="str">
        <x:v>Lô sản xuất</x:v>
      </x:c>
      <x:c r="K187" s="11" t="str">
        <x:v>P2</x:v>
      </x:c>
      <x:c r="L187" s="11" t="str">
        <x:v>Đề xuất T+; nguồn tham khảo khái niệm</x:v>
      </x:c>
      <x:c r="M187" s="11" t="str">
        <x:v>N13 N14 N31 N32</x:v>
      </x:c>
      <x:c r="N187" s="14" t="str">
        <x:v>Chưa chọn</x:v>
      </x:c>
      <x:c r="O187" s="14"/>
      <x:c r="P187" s="14"/>
    </x:row>
    <x:row r="188" ht="42" customHeight="1">
      <x:c r="A188" s="12" t="str">
        <x:v>NEST-02</x:v>
      </x:c>
      <x:c r="B188" s="10" t="str">
        <x:v>Xếp ván</x:v>
      </x:c>
      <x:c r="C188" s="10" t="str">
        <x:v>nest_material_key</x:v>
      </x:c>
      <x:c r="D188" s="10" t="str">
        <x:v>Khóa gom vật liệu</x:v>
      </x:c>
      <x:c r="E188" s="10" t="str">
        <x:v>Cấu trúc</x:v>
      </x:c>
      <x:c r="F188" s="10" t="str"/>
      <x:c r="G188" s="15"/>
      <x:c r="H188" s="10" t="str">
        <x:v>Cốt màu dày lô mặt</x:v>
      </x:c>
      <x:c r="I188" s="10" t="str">
        <x:v>Không gom chỉ theo texture</x:v>
      </x:c>
      <x:c r="J188" s="10" t="str">
        <x:v>Lô sản xuất</x:v>
      </x:c>
      <x:c r="K188" s="10" t="str">
        <x:v>P2</x:v>
      </x:c>
      <x:c r="L188" s="10" t="str">
        <x:v>Đề xuất T+; nguồn tham khảo khái niệm</x:v>
      </x:c>
      <x:c r="M188" s="10" t="str">
        <x:v>N13 N14 N31 N32</x:v>
      </x:c>
      <x:c r="N188" s="14" t="str">
        <x:v>Chưa chọn</x:v>
      </x:c>
      <x:c r="O188" s="14"/>
      <x:c r="P188" s="14"/>
    </x:row>
    <x:row r="189" ht="42" customHeight="1">
      <x:c r="A189" s="13" t="str">
        <x:v>NEST-03</x:v>
      </x:c>
      <x:c r="B189" s="11" t="str">
        <x:v>Xếp ván</x:v>
      </x:c>
      <x:c r="C189" s="11" t="str">
        <x:v>nest_stock_sizes</x:v>
      </x:c>
      <x:c r="D189" s="11" t="str">
        <x:v>Các khổ ván được dùng</x:v>
      </x:c>
      <x:c r="E189" s="11" t="str">
        <x:v>Mảng</x:v>
      </x:c>
      <x:c r="F189" s="11" t="str">
        <x:v>mm</x:v>
      </x:c>
      <x:c r="G189" s="16"/>
      <x:c r="H189" s="11" t="str">
        <x:v>Khổ và số lượng thực</x:v>
      </x:c>
      <x:c r="I189" s="11" t="str">
        <x:v>Không giả định vô hạn</x:v>
      </x:c>
      <x:c r="J189" s="11" t="str">
        <x:v>Lô sản xuất</x:v>
      </x:c>
      <x:c r="K189" s="11" t="str">
        <x:v>P2</x:v>
      </x:c>
      <x:c r="L189" s="11" t="str">
        <x:v>Đề xuất T+; nguồn tham khảo khái niệm</x:v>
      </x:c>
      <x:c r="M189" s="11" t="str">
        <x:v>N13 N14 N31 N32</x:v>
      </x:c>
      <x:c r="N189" s="14" t="str">
        <x:v>Chưa chọn</x:v>
      </x:c>
      <x:c r="O189" s="14"/>
      <x:c r="P189" s="14"/>
    </x:row>
    <x:row r="190" ht="42" customHeight="1">
      <x:c r="A190" s="12" t="str">
        <x:v>NEST-04</x:v>
      </x:c>
      <x:c r="B190" s="10" t="str">
        <x:v>Xếp ván</x:v>
      </x:c>
      <x:c r="C190" s="10" t="str">
        <x:v>nest_trim_left</x:v>
      </x:c>
      <x:c r="D190" s="10" t="str">
        <x:v>Xén biên trái</x:v>
      </x:c>
      <x:c r="E190" s="10" t="str">
        <x:v>Số</x:v>
      </x:c>
      <x:c r="F190" s="10" t="str">
        <x:v>mm</x:v>
      </x:c>
      <x:c r="G190" s="15"/>
      <x:c r="H190" s="10" t="str">
        <x:v>Không âm</x:v>
      </x:c>
      <x:c r="I190" s="10" t="str">
        <x:v>Theo khổ hữu dụng</x:v>
      </x:c>
      <x:c r="J190" s="10" t="str">
        <x:v>Lô sản xuất</x:v>
      </x:c>
      <x:c r="K190" s="10" t="str">
        <x:v>P2</x:v>
      </x:c>
      <x:c r="L190" s="10" t="str">
        <x:v>Đề xuất T+; nguồn tham khảo khái niệm</x:v>
      </x:c>
      <x:c r="M190" s="10" t="str">
        <x:v>N13 N14 N31 N32</x:v>
      </x:c>
      <x:c r="N190" s="14" t="str">
        <x:v>Chưa chọn</x:v>
      </x:c>
      <x:c r="O190" s="14"/>
      <x:c r="P190" s="14"/>
    </x:row>
    <x:row r="191" ht="42" customHeight="1">
      <x:c r="A191" s="13" t="str">
        <x:v>NEST-05</x:v>
      </x:c>
      <x:c r="B191" s="11" t="str">
        <x:v>Xếp ván</x:v>
      </x:c>
      <x:c r="C191" s="11" t="str">
        <x:v>nest_trim_right</x:v>
      </x:c>
      <x:c r="D191" s="11" t="str">
        <x:v>Xén biên phải</x:v>
      </x:c>
      <x:c r="E191" s="11" t="str">
        <x:v>Số</x:v>
      </x:c>
      <x:c r="F191" s="11" t="str">
        <x:v>mm</x:v>
      </x:c>
      <x:c r="G191" s="16"/>
      <x:c r="H191" s="11" t="str">
        <x:v>Không âm</x:v>
      </x:c>
      <x:c r="I191" s="11" t="str">
        <x:v>Có thể khác trái</x:v>
      </x:c>
      <x:c r="J191" s="11" t="str">
        <x:v>Lô sản xuất</x:v>
      </x:c>
      <x:c r="K191" s="11" t="str">
        <x:v>P2</x:v>
      </x:c>
      <x:c r="L191" s="11" t="str">
        <x:v>Đề xuất T+; nguồn tham khảo khái niệm</x:v>
      </x:c>
      <x:c r="M191" s="11" t="str">
        <x:v>N13 N14 N31 N32</x:v>
      </x:c>
      <x:c r="N191" s="14" t="str">
        <x:v>Chưa chọn</x:v>
      </x:c>
      <x:c r="O191" s="14"/>
      <x:c r="P191" s="14"/>
    </x:row>
    <x:row r="192" ht="42" customHeight="1">
      <x:c r="A192" s="12" t="str">
        <x:v>NEST-06</x:v>
      </x:c>
      <x:c r="B192" s="10" t="str">
        <x:v>Xếp ván</x:v>
      </x:c>
      <x:c r="C192" s="10" t="str">
        <x:v>nest_trim_top</x:v>
      </x:c>
      <x:c r="D192" s="10" t="str">
        <x:v>Xén biên trên</x:v>
      </x:c>
      <x:c r="E192" s="10" t="str">
        <x:v>Số</x:v>
      </x:c>
      <x:c r="F192" s="10" t="str">
        <x:v>mm</x:v>
      </x:c>
      <x:c r="G192" s="15"/>
      <x:c r="H192" s="10" t="str">
        <x:v>Không âm</x:v>
      </x:c>
      <x:c r="I192" s="10" t="str">
        <x:v>Theo chiều đặt tấm</x:v>
      </x:c>
      <x:c r="J192" s="10" t="str">
        <x:v>Lô sản xuất</x:v>
      </x:c>
      <x:c r="K192" s="10" t="str">
        <x:v>P2</x:v>
      </x:c>
      <x:c r="L192" s="10" t="str">
        <x:v>Đề xuất T+; nguồn tham khảo khái niệm</x:v>
      </x:c>
      <x:c r="M192" s="10" t="str">
        <x:v>N13 N14 N31 N32</x:v>
      </x:c>
      <x:c r="N192" s="14" t="str">
        <x:v>Chưa chọn</x:v>
      </x:c>
      <x:c r="O192" s="14"/>
      <x:c r="P192" s="14"/>
    </x:row>
    <x:row r="193" ht="42" customHeight="1">
      <x:c r="A193" s="13" t="str">
        <x:v>NEST-07</x:v>
      </x:c>
      <x:c r="B193" s="11" t="str">
        <x:v>Xếp ván</x:v>
      </x:c>
      <x:c r="C193" s="11" t="str">
        <x:v>nest_trim_bottom</x:v>
      </x:c>
      <x:c r="D193" s="11" t="str">
        <x:v>Xén biên dưới</x:v>
      </x:c>
      <x:c r="E193" s="11" t="str">
        <x:v>Số</x:v>
      </x:c>
      <x:c r="F193" s="11" t="str">
        <x:v>mm</x:v>
      </x:c>
      <x:c r="G193" s="16"/>
      <x:c r="H193" s="11" t="str">
        <x:v>Không âm</x:v>
      </x:c>
      <x:c r="I193" s="11" t="str">
        <x:v>Theo chiều đặt tấm</x:v>
      </x:c>
      <x:c r="J193" s="11" t="str">
        <x:v>Lô sản xuất</x:v>
      </x:c>
      <x:c r="K193" s="11" t="str">
        <x:v>P2</x:v>
      </x:c>
      <x:c r="L193" s="11" t="str">
        <x:v>Đề xuất T+; nguồn tham khảo khái niệm</x:v>
      </x:c>
      <x:c r="M193" s="11" t="str">
        <x:v>N13 N14 N31 N32</x:v>
      </x:c>
      <x:c r="N193" s="14" t="str">
        <x:v>Chưa chọn</x:v>
      </x:c>
      <x:c r="O193" s="14"/>
      <x:c r="P193" s="14"/>
    </x:row>
    <x:row r="194" ht="42" customHeight="1">
      <x:c r="A194" s="12" t="str">
        <x:v>NEST-08</x:v>
      </x:c>
      <x:c r="B194" s="10" t="str">
        <x:v>Xếp ván</x:v>
      </x:c>
      <x:c r="C194" s="10" t="str">
        <x:v>saw_kerf</x:v>
      </x:c>
      <x:c r="D194" s="10" t="str">
        <x:v>Bề dày đường cưa</x:v>
      </x:c>
      <x:c r="E194" s="10" t="str">
        <x:v>Số</x:v>
      </x:c>
      <x:c r="F194" s="10" t="str">
        <x:v>mm</x:v>
      </x:c>
      <x:c r="G194" s="15"/>
      <x:c r="H194" s="10" t="str">
        <x:v>Theo lưỡi thực</x:v>
      </x:c>
      <x:c r="I194" s="10" t="str">
        <x:v>Chỉ áp cho tuyến cưa</x:v>
      </x:c>
      <x:c r="J194" s="10" t="str">
        <x:v>Lô sản xuất</x:v>
      </x:c>
      <x:c r="K194" s="10" t="str">
        <x:v>P2</x:v>
      </x:c>
      <x:c r="L194" s="10" t="str">
        <x:v>Đề xuất T+; nguồn tham khảo khái niệm</x:v>
      </x:c>
      <x:c r="M194" s="10" t="str">
        <x:v>N13 N14 N31 N32</x:v>
      </x:c>
      <x:c r="N194" s="14" t="str">
        <x:v>Chưa chọn</x:v>
      </x:c>
      <x:c r="O194" s="14"/>
      <x:c r="P194" s="14"/>
    </x:row>
    <x:row r="195" ht="42" customHeight="1">
      <x:c r="A195" s="13" t="str">
        <x:v>NEST-09</x:v>
      </x:c>
      <x:c r="B195" s="11" t="str">
        <x:v>Xếp ván</x:v>
      </x:c>
      <x:c r="C195" s="11" t="str">
        <x:v>router_part_spacing</x:v>
      </x:c>
      <x:c r="D195" s="11" t="str">
        <x:v>Khoảng cách chi tiết</x:v>
      </x:c>
      <x:c r="E195" s="11" t="str">
        <x:v>Số</x:v>
      </x:c>
      <x:c r="F195" s="11" t="str">
        <x:v>mm</x:v>
      </x:c>
      <x:c r="G195" s="16"/>
      <x:c r="H195" s="11" t="str">
        <x:v>Theo dao và chiến lược</x:v>
      </x:c>
      <x:c r="I195" s="11" t="str">
        <x:v>Không cộng đường kính dao hai lần</x:v>
      </x:c>
      <x:c r="J195" s="11" t="str">
        <x:v>Lô sản xuất</x:v>
      </x:c>
      <x:c r="K195" s="11" t="str">
        <x:v>P2</x:v>
      </x:c>
      <x:c r="L195" s="11" t="str">
        <x:v>Đề xuất T+; nguồn tham khảo khái niệm</x:v>
      </x:c>
      <x:c r="M195" s="11" t="str">
        <x:v>N13 N14 N31 N32</x:v>
      </x:c>
      <x:c r="N195" s="14" t="str">
        <x:v>Chưa chọn</x:v>
      </x:c>
      <x:c r="O195" s="14"/>
      <x:c r="P195" s="14"/>
    </x:row>
    <x:row r="196" ht="42" customHeight="1">
      <x:c r="A196" s="12" t="str">
        <x:v>NEST-10</x:v>
      </x:c>
      <x:c r="B196" s="10" t="str">
        <x:v>Xếp ván</x:v>
      </x:c>
      <x:c r="C196" s="10" t="str">
        <x:v>allowed_rotations</x:v>
      </x:c>
      <x:c r="D196" s="10" t="str">
        <x:v>Góc xoay cho phép</x:v>
      </x:c>
      <x:c r="E196" s="10" t="str">
        <x:v>Mảng</x:v>
      </x:c>
      <x:c r="F196" s="10" t="str">
        <x:v>độ</x:v>
      </x:c>
      <x:c r="G196" s="15"/>
      <x:c r="H196" s="10" t="str">
        <x:v>Theo hướng vân</x:v>
      </x:c>
      <x:c r="I196" s="10" t="str">
        <x:v>0 và 180 cũng cần kiểm vân có hướng</x:v>
      </x:c>
      <x:c r="J196" s="10" t="str">
        <x:v>Lô sản xuất</x:v>
      </x:c>
      <x:c r="K196" s="10" t="str">
        <x:v>P2</x:v>
      </x:c>
      <x:c r="L196" s="10" t="str">
        <x:v>Đề xuất T+; nguồn tham khảo khái niệm</x:v>
      </x:c>
      <x:c r="M196" s="10" t="str">
        <x:v>N13 N14 N31 N32</x:v>
      </x:c>
      <x:c r="N196" s="14" t="str">
        <x:v>Chưa chọn</x:v>
      </x:c>
      <x:c r="O196" s="14"/>
      <x:c r="P196" s="14"/>
    </x:row>
    <x:row r="197" ht="42" customHeight="1">
      <x:c r="A197" s="13" t="str">
        <x:v>NEST-11</x:v>
      </x:c>
      <x:c r="B197" s="11" t="str">
        <x:v>Xếp ván</x:v>
      </x:c>
      <x:c r="C197" s="11" t="str">
        <x:v>grain_match_group</x:v>
      </x:c>
      <x:c r="D197" s="11" t="str">
        <x:v>Nhóm liền vân</x:v>
      </x:c>
      <x:c r="E197" s="11" t="str">
        <x:v>Chuỗi</x:v>
      </x:c>
      <x:c r="F197" s="11" t="str"/>
      <x:c r="G197" s="16"/>
      <x:c r="H197" s="11" t="str">
        <x:v>Theo bộ mặt cánh</x:v>
      </x:c>
      <x:c r="I197" s="11" t="str">
        <x:v>Khóa thứ tự và vị trí tương đối</x:v>
      </x:c>
      <x:c r="J197" s="11" t="str">
        <x:v>Lô sản xuất</x:v>
      </x:c>
      <x:c r="K197" s="11" t="str">
        <x:v>P2</x:v>
      </x:c>
      <x:c r="L197" s="11" t="str">
        <x:v>Đề xuất T+; nguồn tham khảo khái niệm</x:v>
      </x:c>
      <x:c r="M197" s="11" t="str">
        <x:v>N13 N14 N31 N32</x:v>
      </x:c>
      <x:c r="N197" s="14" t="str">
        <x:v>Chưa chọn</x:v>
      </x:c>
      <x:c r="O197" s="14"/>
      <x:c r="P197" s="14"/>
    </x:row>
    <x:row r="198" ht="42" customHeight="1">
      <x:c r="A198" s="12" t="str">
        <x:v>NEST-12</x:v>
      </x:c>
      <x:c r="B198" s="10" t="str">
        <x:v>Xếp ván</x:v>
      </x:c>
      <x:c r="C198" s="10" t="str">
        <x:v>nest_offcut_priority</x:v>
      </x:c>
      <x:c r="D198" s="10" t="str">
        <x:v>Ưu tiên ván dư</x:v>
      </x:c>
      <x:c r="E198" s="10" t="str">
        <x:v>Boolean</x:v>
      </x:c>
      <x:c r="F198" s="10" t="str"/>
      <x:c r="G198" s="15" t="str">
        <x:v>True</x:v>
      </x:c>
      <x:c r="H198" s="10" t="str">
        <x:v>True; False</x:v>
      </x:c>
      <x:c r="I198" s="10" t="str">
        <x:v>Kiểm đủ vật liệu dày mặt và lô</x:v>
      </x:c>
      <x:c r="J198" s="10" t="str">
        <x:v>Lô sản xuất</x:v>
      </x:c>
      <x:c r="K198" s="10" t="str">
        <x:v>P2</x:v>
      </x:c>
      <x:c r="L198" s="10" t="str">
        <x:v>Đề xuất T+; nguồn tham khảo khái niệm</x:v>
      </x:c>
      <x:c r="M198" s="10" t="str">
        <x:v>N13 N14 N31 N32</x:v>
      </x:c>
      <x:c r="N198" s="14" t="str">
        <x:v>Chưa chọn</x:v>
      </x:c>
      <x:c r="O198" s="14"/>
      <x:c r="P198" s="14"/>
    </x:row>
    <x:row r="199" ht="42" customHeight="1">
      <x:c r="A199" s="13" t="str">
        <x:v>NEST-13</x:v>
      </x:c>
      <x:c r="B199" s="11" t="str">
        <x:v>Xếp ván</x:v>
      </x:c>
      <x:c r="C199" s="11" t="str">
        <x:v>nest_defect_zones</x:v>
      </x:c>
      <x:c r="D199" s="11" t="str">
        <x:v>Vùng khuyết tật</x:v>
      </x:c>
      <x:c r="E199" s="11" t="str">
        <x:v>Hình học</x:v>
      </x:c>
      <x:c r="F199" s="11" t="str"/>
      <x:c r="G199" s="16"/>
      <x:c r="H199" s="11" t="str">
        <x:v>Trong tấm thô</x:v>
      </x:c>
      <x:c r="I199" s="11" t="str">
        <x:v>Không đặt part vào vùng cấm</x:v>
      </x:c>
      <x:c r="J199" s="11" t="str">
        <x:v>Lô sản xuất</x:v>
      </x:c>
      <x:c r="K199" s="11" t="str">
        <x:v>P2</x:v>
      </x:c>
      <x:c r="L199" s="11" t="str">
        <x:v>Đề xuất T+; nguồn tham khảo khái niệm</x:v>
      </x:c>
      <x:c r="M199" s="11" t="str">
        <x:v>N13 N14 N31 N32</x:v>
      </x:c>
      <x:c r="N199" s="14" t="str">
        <x:v>Chưa chọn</x:v>
      </x:c>
      <x:c r="O199" s="14"/>
      <x:c r="P199" s="14"/>
    </x:row>
    <x:row r="200" ht="42" customHeight="1">
      <x:c r="A200" s="12" t="str">
        <x:v>NEST-14</x:v>
      </x:c>
      <x:c r="B200" s="10" t="str">
        <x:v>Xếp ván</x:v>
      </x:c>
      <x:c r="C200" s="10" t="str">
        <x:v>nest_objective</x:v>
      </x:c>
      <x:c r="D200" s="10" t="str">
        <x:v>Mục tiêu tối ưu</x:v>
      </x:c>
      <x:c r="E200" s="10" t="str">
        <x:v>Danh sách</x:v>
      </x:c>
      <x:c r="F200" s="10" t="str"/>
      <x:c r="G200" s="15" t="str">
        <x:v>Material_then_process</x:v>
      </x:c>
      <x:c r="H200" s="10" t="str">
        <x:v>Material; Cost; Time; Material_then_process</x:v>
      </x:c>
      <x:c r="I200" s="10" t="str">
        <x:v>Không chỉ tối đa phần trăm kín tấm</x:v>
      </x:c>
      <x:c r="J200" s="10" t="str">
        <x:v>Lô sản xuất</x:v>
      </x:c>
      <x:c r="K200" s="10" t="str">
        <x:v>P2</x:v>
      </x:c>
      <x:c r="L200" s="10" t="str">
        <x:v>Đề xuất T+; nguồn tham khảo khái niệm</x:v>
      </x:c>
      <x:c r="M200" s="10" t="str">
        <x:v>N13 N14 N31 N32</x:v>
      </x:c>
      <x:c r="N200" s="14" t="str">
        <x:v>Chưa chọn</x:v>
      </x:c>
      <x:c r="O200" s="14"/>
      <x:c r="P200" s="14"/>
    </x:row>
    <x:row r="201" ht="42" customHeight="1">
      <x:c r="A201" s="13" t="str">
        <x:v>NEST-15</x:v>
      </x:c>
      <x:c r="B201" s="11" t="str">
        <x:v>Xếp ván</x:v>
      </x:c>
      <x:c r="C201" s="11" t="str">
        <x:v>nest_time_budget</x:v>
      </x:c>
      <x:c r="D201" s="11" t="str">
        <x:v>Giới hạn thời gian giải</x:v>
      </x:c>
      <x:c r="E201" s="11" t="str">
        <x:v>Số</x:v>
      </x:c>
      <x:c r="F201" s="11" t="str">
        <x:v>giây</x:v>
      </x:c>
      <x:c r="G201" s="16"/>
      <x:c r="H201" s="11" t="str">
        <x:v>Lớn hơn 0</x:v>
      </x:c>
      <x:c r="I201" s="11" t="str">
        <x:v>Trả nghiệm tốt nhất và part chưa xếp</x:v>
      </x:c>
      <x:c r="J201" s="11" t="str">
        <x:v>Lô sản xuất</x:v>
      </x:c>
      <x:c r="K201" s="11" t="str">
        <x:v>P2</x:v>
      </x:c>
      <x:c r="L201" s="11" t="str">
        <x:v>Đề xuất T+; nguồn tham khảo khái niệm</x:v>
      </x:c>
      <x:c r="M201" s="11" t="str">
        <x:v>N13 N14 N31 N32</x:v>
      </x:c>
      <x:c r="N201" s="14" t="str">
        <x:v>Chưa chọn</x:v>
      </x:c>
      <x:c r="O201" s="14"/>
      <x:c r="P201" s="14"/>
    </x:row>
    <x:row r="202" ht="42" customHeight="1">
      <x:c r="A202" s="12" t="str">
        <x:v>NEST-16</x:v>
      </x:c>
      <x:c r="B202" s="10" t="str">
        <x:v>Xếp ván</x:v>
      </x:c>
      <x:c r="C202" s="10" t="str">
        <x:v>nest_min_remnant</x:v>
      </x:c>
      <x:c r="D202" s="10" t="str">
        <x:v>Giới hạn lưu ván dư</x:v>
      </x:c>
      <x:c r="E202" s="10" t="str">
        <x:v>Cấu trúc</x:v>
      </x:c>
      <x:c r="F202" s="10" t="str">
        <x:v>mm</x:v>
      </x:c>
      <x:c r="G202" s="15"/>
      <x:c r="H202" s="10" t="str">
        <x:v>Rộng dài và chất lượng</x:v>
      </x:c>
      <x:c r="I202" s="10" t="str">
        <x:v>Tránh lưu vụn vô ích</x:v>
      </x:c>
      <x:c r="J202" s="10" t="str">
        <x:v>Lô sản xuất</x:v>
      </x:c>
      <x:c r="K202" s="10" t="str">
        <x:v>P2</x:v>
      </x:c>
      <x:c r="L202" s="10" t="str">
        <x:v>Đề xuất T+; nguồn tham khảo khái niệm</x:v>
      </x:c>
      <x:c r="M202" s="10" t="str">
        <x:v>N13 N14 N31 N32</x:v>
      </x:c>
      <x:c r="N202" s="14" t="str">
        <x:v>Chưa chọn</x:v>
      </x:c>
      <x:c r="O202" s="14"/>
      <x:c r="P202" s="14"/>
    </x:row>
    <x:row r="203" ht="42" customHeight="1">
      <x:c r="A203" s="13" t="str">
        <x:v>NEST-17</x:v>
      </x:c>
      <x:c r="B203" s="11" t="str">
        <x:v>Xếp ván</x:v>
      </x:c>
      <x:c r="C203" s="11" t="str">
        <x:v>nest_locked_parts</x:v>
      </x:c>
      <x:c r="D203" s="11" t="str">
        <x:v>Chi tiết cố định vị trí</x:v>
      </x:c>
      <x:c r="E203" s="11" t="str">
        <x:v>Mảng</x:v>
      </x:c>
      <x:c r="F203" s="11" t="str"/>
      <x:c r="G203" s="16"/>
      <x:c r="H203" s="11" t="str">
        <x:v>Part ID và transform</x:v>
      </x:c>
      <x:c r="I203" s="11" t="str">
        <x:v>Giữ sau chạy lại</x:v>
      </x:c>
      <x:c r="J203" s="11" t="str">
        <x:v>Lô sản xuất</x:v>
      </x:c>
      <x:c r="K203" s="11" t="str">
        <x:v>P2</x:v>
      </x:c>
      <x:c r="L203" s="11" t="str">
        <x:v>Đề xuất T+; nguồn tham khảo khái niệm</x:v>
      </x:c>
      <x:c r="M203" s="11" t="str">
        <x:v>N13 N14 N31 N32</x:v>
      </x:c>
      <x:c r="N203" s="14" t="str">
        <x:v>Chưa chọn</x:v>
      </x:c>
      <x:c r="O203" s="14"/>
      <x:c r="P203" s="14"/>
    </x:row>
    <x:row r="204" ht="42" customHeight="1">
      <x:c r="A204" s="12" t="str">
        <x:v>NEST-18</x:v>
      </x:c>
      <x:c r="B204" s="10" t="str">
        <x:v>Xếp ván</x:v>
      </x:c>
      <x:c r="C204" s="10" t="str">
        <x:v>nest_seed</x:v>
      </x:c>
      <x:c r="D204" s="10" t="str">
        <x:v>Mã tái lập lần giải</x:v>
      </x:c>
      <x:c r="E204" s="10" t="str">
        <x:v>Số nguyên</x:v>
      </x:c>
      <x:c r="F204" s="10" t="str"/>
      <x:c r="G204" s="15"/>
      <x:c r="H204" s="10" t="str">
        <x:v>Theo solver</x:v>
      </x:c>
      <x:c r="I204" s="10" t="str">
        <x:v>Cùng dữ liệu cùng cấu hình để truy vết</x:v>
      </x:c>
      <x:c r="J204" s="10" t="str">
        <x:v>Lô sản xuất</x:v>
      </x:c>
      <x:c r="K204" s="10" t="str">
        <x:v>P2</x:v>
      </x:c>
      <x:c r="L204" s="10" t="str">
        <x:v>Đề xuất T+; nguồn tham khảo khái niệm</x:v>
      </x:c>
      <x:c r="M204" s="10" t="str">
        <x:v>N13 N14 N31 N32</x:v>
      </x:c>
      <x:c r="N204" s="14" t="str">
        <x:v>Chưa chọn</x:v>
      </x:c>
      <x:c r="O204" s="14"/>
      <x:c r="P204" s="14"/>
    </x:row>
    <x:row r="205" ht="42" customHeight="1">
      <x:c r="A205" s="13" t="str">
        <x:v>CNC-01</x:v>
      </x:c>
      <x:c r="B205" s="11" t="str">
        <x:v>Máy dao và hậu xử lý</x:v>
      </x:c>
      <x:c r="C205" s="11" t="str">
        <x:v>machine_id</x:v>
      </x:c>
      <x:c r="D205" s="11" t="str">
        <x:v>Mã máy</x:v>
      </x:c>
      <x:c r="E205" s="11" t="str">
        <x:v>Chuỗi</x:v>
      </x:c>
      <x:c r="F205" s="11" t="str"/>
      <x:c r="G205" s="16"/>
      <x:c r="H205" s="11" t="str">
        <x:v>Một máy cụ thể</x:v>
      </x:c>
      <x:c r="I205" s="11" t="str">
        <x:v>Không chỉ ghi hãng</x:v>
      </x:c>
      <x:c r="J205" s="11" t="str">
        <x:v>Máy</x:v>
      </x:c>
      <x:c r="K205" s="11" t="str">
        <x:v>P3</x:v>
      </x:c>
      <x:c r="L205" s="11" t="str">
        <x:v>Đề xuất T+; nguồn tham khảo khái niệm</x:v>
      </x:c>
      <x:c r="M205" s="11" t="str">
        <x:v>N06 N14 N17 N18 N19</x:v>
      </x:c>
      <x:c r="N205" s="14" t="str">
        <x:v>Chưa chọn</x:v>
      </x:c>
      <x:c r="O205" s="14"/>
      <x:c r="P205" s="14"/>
    </x:row>
    <x:row r="206" ht="42" customHeight="1">
      <x:c r="A206" s="12" t="str">
        <x:v>CNC-02</x:v>
      </x:c>
      <x:c r="B206" s="10" t="str">
        <x:v>Máy dao và hậu xử lý</x:v>
      </x:c>
      <x:c r="C206" s="10" t="str">
        <x:v>controller_version</x:v>
      </x:c>
      <x:c r="D206" s="10" t="str">
        <x:v>Bộ điều khiển và phiên bản</x:v>
      </x:c>
      <x:c r="E206" s="10" t="str">
        <x:v>Chuỗi</x:v>
      </x:c>
      <x:c r="F206" s="10" t="str"/>
      <x:c r="G206" s="15"/>
      <x:c r="H206" s="10" t="str">
        <x:v>Theo máy</x:v>
      </x:c>
      <x:c r="I206" s="10" t="str">
        <x:v>Ràng buộc post</x:v>
      </x:c>
      <x:c r="J206" s="10" t="str">
        <x:v>Máy</x:v>
      </x:c>
      <x:c r="K206" s="10" t="str">
        <x:v>P3</x:v>
      </x:c>
      <x:c r="L206" s="10" t="str">
        <x:v>Đề xuất T+; nguồn tham khảo khái niệm</x:v>
      </x:c>
      <x:c r="M206" s="10" t="str">
        <x:v>N06 N14 N17 N18 N19</x:v>
      </x:c>
      <x:c r="N206" s="14" t="str">
        <x:v>Chưa chọn</x:v>
      </x:c>
      <x:c r="O206" s="14"/>
      <x:c r="P206" s="14"/>
    </x:row>
    <x:row r="207" ht="42" customHeight="1">
      <x:c r="A207" s="13" t="str">
        <x:v>CNC-03</x:v>
      </x:c>
      <x:c r="B207" s="11" t="str">
        <x:v>Máy dao và hậu xử lý</x:v>
      </x:c>
      <x:c r="C207" s="11" t="str">
        <x:v>post_id</x:v>
      </x:c>
      <x:c r="D207" s="11" t="str">
        <x:v>Mã hậu xử lý</x:v>
      </x:c>
      <x:c r="E207" s="11" t="str">
        <x:v>Chuỗi</x:v>
      </x:c>
      <x:c r="F207" s="11" t="str"/>
      <x:c r="G207" s="16"/>
      <x:c r="H207" s="11" t="str">
        <x:v>Post đã kiểm thử</x:v>
      </x:c>
      <x:c r="I207" s="11" t="str">
        <x:v>Có version và hash</x:v>
      </x:c>
      <x:c r="J207" s="11" t="str">
        <x:v>Máy</x:v>
      </x:c>
      <x:c r="K207" s="11" t="str">
        <x:v>P3</x:v>
      </x:c>
      <x:c r="L207" s="11" t="str">
        <x:v>Đề xuất T+; nguồn tham khảo khái niệm</x:v>
      </x:c>
      <x:c r="M207" s="11" t="str">
        <x:v>N06 N14 N17 N18 N19</x:v>
      </x:c>
      <x:c r="N207" s="14" t="str">
        <x:v>Chưa chọn</x:v>
      </x:c>
      <x:c r="O207" s="14"/>
      <x:c r="P207" s="14"/>
    </x:row>
    <x:row r="208" ht="42" customHeight="1">
      <x:c r="A208" s="12" t="str">
        <x:v>CNC-04</x:v>
      </x:c>
      <x:c r="B208" s="10" t="str">
        <x:v>Máy dao và hậu xử lý</x:v>
      </x:c>
      <x:c r="C208" s="10" t="str">
        <x:v>machine_axes</x:v>
      </x:c>
      <x:c r="D208" s="10" t="str">
        <x:v>Số trục và cấu hình</x:v>
      </x:c>
      <x:c r="E208" s="10" t="str">
        <x:v>Cấu trúc</x:v>
      </x:c>
      <x:c r="F208" s="10" t="str"/>
      <x:c r="G208" s="15"/>
      <x:c r="H208" s="10" t="str">
        <x:v>Theo máy</x:v>
      </x:c>
      <x:c r="I208" s="10" t="str">
        <x:v>Không suy số trục từ phần mềm</x:v>
      </x:c>
      <x:c r="J208" s="10" t="str">
        <x:v>Máy</x:v>
      </x:c>
      <x:c r="K208" s="10" t="str">
        <x:v>P3</x:v>
      </x:c>
      <x:c r="L208" s="10" t="str">
        <x:v>Đề xuất T+; nguồn tham khảo khái niệm</x:v>
      </x:c>
      <x:c r="M208" s="10" t="str">
        <x:v>N06 N14 N17 N18 N19</x:v>
      </x:c>
      <x:c r="N208" s="14" t="str">
        <x:v>Chưa chọn</x:v>
      </x:c>
      <x:c r="O208" s="14"/>
      <x:c r="P208" s="14"/>
    </x:row>
    <x:row r="209" ht="42" customHeight="1">
      <x:c r="A209" s="13" t="str">
        <x:v>CNC-05</x:v>
      </x:c>
      <x:c r="B209" s="11" t="str">
        <x:v>Máy dao và hậu xử lý</x:v>
      </x:c>
      <x:c r="C209" s="11" t="str">
        <x:v>work_envelope</x:v>
      </x:c>
      <x:c r="D209" s="11" t="str">
        <x:v>Vùng làm việc</x:v>
      </x:c>
      <x:c r="E209" s="11" t="str">
        <x:v>Cấu trúc</x:v>
      </x:c>
      <x:c r="F209" s="11" t="str">
        <x:v>mm</x:v>
      </x:c>
      <x:c r="G209" s="16"/>
      <x:c r="H209" s="11" t="str">
        <x:v>X Y Z thực tế</x:v>
      </x:c>
      <x:c r="I209" s="11" t="str">
        <x:v>Trừ vùng hạn chế và kẹp</x:v>
      </x:c>
      <x:c r="J209" s="11" t="str">
        <x:v>Máy</x:v>
      </x:c>
      <x:c r="K209" s="11" t="str">
        <x:v>P3</x:v>
      </x:c>
      <x:c r="L209" s="11" t="str">
        <x:v>Đề xuất T+; nguồn tham khảo khái niệm</x:v>
      </x:c>
      <x:c r="M209" s="11" t="str">
        <x:v>N06 N14 N17 N18 N19</x:v>
      </x:c>
      <x:c r="N209" s="14" t="str">
        <x:v>Chưa chọn</x:v>
      </x:c>
      <x:c r="O209" s="14"/>
      <x:c r="P209" s="14"/>
    </x:row>
    <x:row r="210" ht="42" customHeight="1">
      <x:c r="A210" s="12" t="str">
        <x:v>CNC-06</x:v>
      </x:c>
      <x:c r="B210" s="10" t="str">
        <x:v>Máy dao và hậu xử lý</x:v>
      </x:c>
      <x:c r="C210" s="10" t="str">
        <x:v>origin_xy</x:v>
      </x:c>
      <x:c r="D210" s="10" t="str">
        <x:v>Gốc XY</x:v>
      </x:c>
      <x:c r="E210" s="10" t="str">
        <x:v>Danh sách</x:v>
      </x:c>
      <x:c r="F210" s="10" t="str"/>
      <x:c r="G210" s="15"/>
      <x:c r="H210" s="10" t="str">
        <x:v>Theo máy</x:v>
      </x:c>
      <x:c r="I210" s="10" t="str">
        <x:v>Chuyển từ hệ tấm qua nest</x:v>
      </x:c>
      <x:c r="J210" s="10" t="str">
        <x:v>Máy</x:v>
      </x:c>
      <x:c r="K210" s="10" t="str">
        <x:v>P3</x:v>
      </x:c>
      <x:c r="L210" s="10" t="str">
        <x:v>Đề xuất T+; nguồn tham khảo khái niệm</x:v>
      </x:c>
      <x:c r="M210" s="10" t="str">
        <x:v>N06 N14 N17 N18 N19</x:v>
      </x:c>
      <x:c r="N210" s="14" t="str">
        <x:v>Chưa chọn</x:v>
      </x:c>
      <x:c r="O210" s="14"/>
      <x:c r="P210" s="14"/>
    </x:row>
    <x:row r="211" ht="42" customHeight="1">
      <x:c r="A211" s="13" t="str">
        <x:v>CNC-07</x:v>
      </x:c>
      <x:c r="B211" s="11" t="str">
        <x:v>Máy dao và hậu xử lý</x:v>
      </x:c>
      <x:c r="C211" s="11" t="str">
        <x:v>origin_z</x:v>
      </x:c>
      <x:c r="D211" s="11" t="str">
        <x:v>Gốc Z</x:v>
      </x:c>
      <x:c r="E211" s="11" t="str">
        <x:v>Danh sách</x:v>
      </x:c>
      <x:c r="F211" s="11" t="str"/>
      <x:c r="G211" s="16"/>
      <x:c r="H211" s="11" t="str">
        <x:v>Material_top; Spoilboard_top</x:v>
      </x:c>
      <x:c r="I211" s="11" t="str">
        <x:v>Sai mốc có thể gây cắt sai sâu</x:v>
      </x:c>
      <x:c r="J211" s="11" t="str">
        <x:v>Máy</x:v>
      </x:c>
      <x:c r="K211" s="11" t="str">
        <x:v>P3</x:v>
      </x:c>
      <x:c r="L211" s="11" t="str">
        <x:v>Đề xuất T+; nguồn tham khảo khái niệm</x:v>
      </x:c>
      <x:c r="M211" s="11" t="str">
        <x:v>N06 N14 N17 N18 N19</x:v>
      </x:c>
      <x:c r="N211" s="14" t="str">
        <x:v>Chưa chọn</x:v>
      </x:c>
      <x:c r="O211" s="14"/>
      <x:c r="P211" s="14"/>
    </x:row>
    <x:row r="212" ht="42" customHeight="1">
      <x:c r="A212" s="12" t="str">
        <x:v>CNC-08</x:v>
      </x:c>
      <x:c r="B212" s="10" t="str">
        <x:v>Máy dao và hậu xử lý</x:v>
      </x:c>
      <x:c r="C212" s="10" t="str">
        <x:v>flip_axis</x:v>
      </x:c>
      <x:c r="D212" s="10" t="str">
        <x:v>Trục lật mặt B</x:v>
      </x:c>
      <x:c r="E212" s="10" t="str">
        <x:v>Danh sách</x:v>
      </x:c>
      <x:c r="F212" s="10" t="str"/>
      <x:c r="G212" s="15"/>
      <x:c r="H212" s="10" t="str">
        <x:v>U; V</x:v>
      </x:c>
      <x:c r="I212" s="10" t="str">
        <x:v>Cần chốt và thử trên phôi</x:v>
      </x:c>
      <x:c r="J212" s="10" t="str">
        <x:v>Máy</x:v>
      </x:c>
      <x:c r="K212" s="10" t="str">
        <x:v>P3</x:v>
      </x:c>
      <x:c r="L212" s="10" t="str">
        <x:v>Đề xuất T+; nguồn tham khảo khái niệm</x:v>
      </x:c>
      <x:c r="M212" s="10" t="str">
        <x:v>N06 N14 N17 N18 N19</x:v>
      </x:c>
      <x:c r="N212" s="14" t="str">
        <x:v>Chưa chọn</x:v>
      </x:c>
      <x:c r="O212" s="14"/>
      <x:c r="P212" s="14"/>
    </x:row>
    <x:row r="213" ht="42" customHeight="1">
      <x:c r="A213" s="13" t="str">
        <x:v>CNC-09</x:v>
      </x:c>
      <x:c r="B213" s="11" t="str">
        <x:v>Máy dao và hậu xử lý</x:v>
      </x:c>
      <x:c r="C213" s="11" t="str">
        <x:v>tool_diameter</x:v>
      </x:c>
      <x:c r="D213" s="11" t="str">
        <x:v>Đường kính dao thực</x:v>
      </x:c>
      <x:c r="E213" s="11" t="str">
        <x:v>Số</x:v>
      </x:c>
      <x:c r="F213" s="11" t="str">
        <x:v>mm</x:v>
      </x:c>
      <x:c r="G213" s="16"/>
      <x:c r="H213" s="11" t="str">
        <x:v>Theo dao</x:v>
      </x:c>
      <x:c r="I213" s="11" t="str">
        <x:v>Dùng cho bù dao và khe xếp</x:v>
      </x:c>
      <x:c r="J213" s="11" t="str">
        <x:v>Máy</x:v>
      </x:c>
      <x:c r="K213" s="11" t="str">
        <x:v>P3</x:v>
      </x:c>
      <x:c r="L213" s="11" t="str">
        <x:v>Đề xuất T+; nguồn tham khảo khái niệm</x:v>
      </x:c>
      <x:c r="M213" s="11" t="str">
        <x:v>N06 N14 N17 N18 N19</x:v>
      </x:c>
      <x:c r="N213" s="14" t="str">
        <x:v>Chưa chọn</x:v>
      </x:c>
      <x:c r="O213" s="14"/>
      <x:c r="P213" s="14"/>
    </x:row>
    <x:row r="214" ht="42" customHeight="1">
      <x:c r="A214" s="12" t="str">
        <x:v>CNC-10</x:v>
      </x:c>
      <x:c r="B214" s="10" t="str">
        <x:v>Máy dao và hậu xử lý</x:v>
      </x:c>
      <x:c r="C214" s="10" t="str">
        <x:v>tool_cut_length</x:v>
      </x:c>
      <x:c r="D214" s="10" t="str">
        <x:v>Chiều dài cắt hữu dụng</x:v>
      </x:c>
      <x:c r="E214" s="10" t="str">
        <x:v>Số</x:v>
      </x:c>
      <x:c r="F214" s="10" t="str">
        <x:v>mm</x:v>
      </x:c>
      <x:c r="G214" s="15"/>
      <x:c r="H214" s="10" t="str">
        <x:v>Theo dao</x:v>
      </x:c>
      <x:c r="I214" s="10" t="str">
        <x:v>Không dùng dao thiếu chiều dài</x:v>
      </x:c>
      <x:c r="J214" s="10" t="str">
        <x:v>Máy</x:v>
      </x:c>
      <x:c r="K214" s="10" t="str">
        <x:v>P3</x:v>
      </x:c>
      <x:c r="L214" s="10" t="str">
        <x:v>Đề xuất T+; nguồn tham khảo khái niệm</x:v>
      </x:c>
      <x:c r="M214" s="10" t="str">
        <x:v>N06 N14 N17 N18 N19</x:v>
      </x:c>
      <x:c r="N214" s="14" t="str">
        <x:v>Chưa chọn</x:v>
      </x:c>
      <x:c r="O214" s="14"/>
      <x:c r="P214" s="14"/>
    </x:row>
    <x:row r="215" ht="42" customHeight="1">
      <x:c r="A215" s="13" t="str">
        <x:v>CNC-11</x:v>
      </x:c>
      <x:c r="B215" s="11" t="str">
        <x:v>Máy dao và hậu xử lý</x:v>
      </x:c>
      <x:c r="C215" s="11" t="str">
        <x:v>spindle_speed</x:v>
      </x:c>
      <x:c r="D215" s="11" t="str">
        <x:v>Tốc độ trục chính</x:v>
      </x:c>
      <x:c r="E215" s="11" t="str">
        <x:v>Số</x:v>
      </x:c>
      <x:c r="F215" s="11" t="str">
        <x:v>rpm</x:v>
      </x:c>
      <x:c r="G215" s="16"/>
      <x:c r="H215" s="11" t="str">
        <x:v>Theo dao vật liệu máy</x:v>
      </x:c>
      <x:c r="I215" s="11" t="str">
        <x:v>Không tự đề xuất giá trị chạy máy</x:v>
      </x:c>
      <x:c r="J215" s="11" t="str">
        <x:v>Máy</x:v>
      </x:c>
      <x:c r="K215" s="11" t="str">
        <x:v>P3</x:v>
      </x:c>
      <x:c r="L215" s="11" t="str">
        <x:v>Đề xuất T+; nguồn tham khảo khái niệm</x:v>
      </x:c>
      <x:c r="M215" s="11" t="str">
        <x:v>N06 N14 N17 N18 N19</x:v>
      </x:c>
      <x:c r="N215" s="14" t="str">
        <x:v>Chưa chọn</x:v>
      </x:c>
      <x:c r="O215" s="14"/>
      <x:c r="P215" s="14"/>
    </x:row>
    <x:row r="216" ht="42" customHeight="1">
      <x:c r="A216" s="12" t="str">
        <x:v>CNC-12</x:v>
      </x:c>
      <x:c r="B216" s="10" t="str">
        <x:v>Máy dao và hậu xử lý</x:v>
      </x:c>
      <x:c r="C216" s="10" t="str">
        <x:v>feed_rate</x:v>
      </x:c>
      <x:c r="D216" s="10" t="str">
        <x:v>Tốc độ tiến dao</x:v>
      </x:c>
      <x:c r="E216" s="10" t="str">
        <x:v>Số</x:v>
      </x:c>
      <x:c r="F216" s="10" t="str">
        <x:v>mm/min</x:v>
      </x:c>
      <x:c r="G216" s="15"/>
      <x:c r="H216" s="10" t="str">
        <x:v>Theo dao vật liệu máy</x:v>
      </x:c>
      <x:c r="I216" s="10" t="str">
        <x:v>Chỉ nhận profile đã duyệt</x:v>
      </x:c>
      <x:c r="J216" s="10" t="str">
        <x:v>Máy</x:v>
      </x:c>
      <x:c r="K216" s="10" t="str">
        <x:v>P3</x:v>
      </x:c>
      <x:c r="L216" s="10" t="str">
        <x:v>Đề xuất T+; nguồn tham khảo khái niệm</x:v>
      </x:c>
      <x:c r="M216" s="10" t="str">
        <x:v>N06 N14 N17 N18 N19</x:v>
      </x:c>
      <x:c r="N216" s="14" t="str">
        <x:v>Chưa chọn</x:v>
      </x:c>
      <x:c r="O216" s="14"/>
      <x:c r="P216" s="14"/>
    </x:row>
    <x:row r="217" ht="42" customHeight="1">
      <x:c r="A217" s="13" t="str">
        <x:v>CNC-13</x:v>
      </x:c>
      <x:c r="B217" s="11" t="str">
        <x:v>Máy dao và hậu xử lý</x:v>
      </x:c>
      <x:c r="C217" s="11" t="str">
        <x:v>plunge_rate</x:v>
      </x:c>
      <x:c r="D217" s="11" t="str">
        <x:v>Tốc độ xuống dao</x:v>
      </x:c>
      <x:c r="E217" s="11" t="str">
        <x:v>Số</x:v>
      </x:c>
      <x:c r="F217" s="11" t="str">
        <x:v>mm/min</x:v>
      </x:c>
      <x:c r="G217" s="16"/>
      <x:c r="H217" s="11" t="str">
        <x:v>Theo profile</x:v>
      </x:c>
      <x:c r="I217" s="11" t="str">
        <x:v>Kiểm kiểu ramp</x:v>
      </x:c>
      <x:c r="J217" s="11" t="str">
        <x:v>Máy</x:v>
      </x:c>
      <x:c r="K217" s="11" t="str">
        <x:v>P3</x:v>
      </x:c>
      <x:c r="L217" s="11" t="str">
        <x:v>Đề xuất T+; nguồn tham khảo khái niệm</x:v>
      </x:c>
      <x:c r="M217" s="11" t="str">
        <x:v>N06 N14 N17 N18 N19</x:v>
      </x:c>
      <x:c r="N217" s="14" t="str">
        <x:v>Chưa chọn</x:v>
      </x:c>
      <x:c r="O217" s="14"/>
      <x:c r="P217" s="14"/>
    </x:row>
    <x:row r="218" ht="42" customHeight="1">
      <x:c r="A218" s="12" t="str">
        <x:v>CNC-14</x:v>
      </x:c>
      <x:c r="B218" s="10" t="str">
        <x:v>Máy dao và hậu xử lý</x:v>
      </x:c>
      <x:c r="C218" s="10" t="str">
        <x:v>safe_z</x:v>
      </x:c>
      <x:c r="D218" s="10" t="str">
        <x:v>Cao độ an toàn</x:v>
      </x:c>
      <x:c r="E218" s="10" t="str">
        <x:v>Số</x:v>
      </x:c>
      <x:c r="F218" s="10" t="str">
        <x:v>mm</x:v>
      </x:c>
      <x:c r="G218" s="15"/>
      <x:c r="H218" s="10" t="str">
        <x:v>Theo phôi và đồ gá</x:v>
      </x:c>
      <x:c r="I218" s="10" t="str">
        <x:v>Phải cao hơn vật cản liên quan</x:v>
      </x:c>
      <x:c r="J218" s="10" t="str">
        <x:v>Máy</x:v>
      </x:c>
      <x:c r="K218" s="10" t="str">
        <x:v>P3</x:v>
      </x:c>
      <x:c r="L218" s="10" t="str">
        <x:v>Đề xuất T+; nguồn tham khảo khái niệm</x:v>
      </x:c>
      <x:c r="M218" s="10" t="str">
        <x:v>N06 N14 N17 N18 N19</x:v>
      </x:c>
      <x:c r="N218" s="14" t="str">
        <x:v>Chưa chọn</x:v>
      </x:c>
      <x:c r="O218" s="14"/>
      <x:c r="P218" s="14"/>
    </x:row>
    <x:row r="219" ht="42" customHeight="1">
      <x:c r="A219" s="13" t="str">
        <x:v>CNC-15</x:v>
      </x:c>
      <x:c r="B219" s="11" t="str">
        <x:v>Máy dao và hậu xử lý</x:v>
      </x:c>
      <x:c r="C219" s="11" t="str">
        <x:v>stepdown</x:v>
      </x:c>
      <x:c r="D219" s="11" t="str">
        <x:v>Chiều sâu mỗi lượt</x:v>
      </x:c>
      <x:c r="E219" s="11" t="str">
        <x:v>Số</x:v>
      </x:c>
      <x:c r="F219" s="11" t="str">
        <x:v>mm</x:v>
      </x:c>
      <x:c r="G219" s="16"/>
      <x:c r="H219" s="11" t="str">
        <x:v>Theo profile</x:v>
      </x:c>
      <x:c r="I219" s="11" t="str">
        <x:v>Không vượt khả năng dao và máy</x:v>
      </x:c>
      <x:c r="J219" s="11" t="str">
        <x:v>Máy</x:v>
      </x:c>
      <x:c r="K219" s="11" t="str">
        <x:v>P3</x:v>
      </x:c>
      <x:c r="L219" s="11" t="str">
        <x:v>Đề xuất T+; nguồn tham khảo khái niệm</x:v>
      </x:c>
      <x:c r="M219" s="11" t="str">
        <x:v>N06 N14 N17 N18 N19</x:v>
      </x:c>
      <x:c r="N219" s="14" t="str">
        <x:v>Chưa chọn</x:v>
      </x:c>
      <x:c r="O219" s="14"/>
      <x:c r="P219" s="14"/>
    </x:row>
    <x:row r="220" ht="42" customHeight="1">
      <x:c r="A220" s="12" t="str">
        <x:v>CNC-16</x:v>
      </x:c>
      <x:c r="B220" s="10" t="str">
        <x:v>Máy dao và hậu xử lý</x:v>
      </x:c>
      <x:c r="C220" s="10" t="str">
        <x:v>holding_strategy</x:v>
      </x:c>
      <x:c r="D220" s="10" t="str">
        <x:v>Cách giữ tấm nhỏ</x:v>
      </x:c>
      <x:c r="E220" s="10" t="str">
        <x:v>Danh sách</x:v>
      </x:c>
      <x:c r="F220" s="10" t="str"/>
      <x:c r="G220" s="15"/>
      <x:c r="H220" s="10" t="str">
        <x:v>Vacuum; Tabs; Onion_skin; Fixture</x:v>
      </x:c>
      <x:c r="I220" s="10" t="str">
        <x:v>Kiểm với thực tế bàn hút</x:v>
      </x:c>
      <x:c r="J220" s="10" t="str">
        <x:v>Máy</x:v>
      </x:c>
      <x:c r="K220" s="10" t="str">
        <x:v>P3</x:v>
      </x:c>
      <x:c r="L220" s="10" t="str">
        <x:v>Đề xuất T+; nguồn tham khảo khái niệm</x:v>
      </x:c>
      <x:c r="M220" s="10" t="str">
        <x:v>N06 N14 N17 N18 N19</x:v>
      </x:c>
      <x:c r="N220" s="14" t="str">
        <x:v>Chưa chọn</x:v>
      </x:c>
      <x:c r="O220" s="14"/>
      <x:c r="P220" s="14"/>
    </x:row>
    <x:row r="221" ht="42" customHeight="1">
      <x:c r="A221" s="13" t="str">
        <x:v>CNC-17</x:v>
      </x:c>
      <x:c r="B221" s="11" t="str">
        <x:v>Máy dao và hậu xử lý</x:v>
      </x:c>
      <x:c r="C221" s="11" t="str">
        <x:v>machine_release_approval</x:v>
      </x:c>
      <x:c r="D221" s="11" t="str">
        <x:v>Duyệt xuất NC</x:v>
      </x:c>
      <x:c r="E221" s="11" t="str">
        <x:v>Cấu trúc</x:v>
      </x:c>
      <x:c r="F221" s="11" t="str"/>
      <x:c r="G221" s="16"/>
      <x:c r="H221" s="11" t="str">
        <x:v>Người duyệt máy post phôi thử</x:v>
      </x:c>
      <x:c r="I221" s="11" t="str">
        <x:v>Không đồng nhất với xuất DXF</x:v>
      </x:c>
      <x:c r="J221" s="11" t="str">
        <x:v>Máy</x:v>
      </x:c>
      <x:c r="K221" s="11" t="str">
        <x:v>P3</x:v>
      </x:c>
      <x:c r="L221" s="11" t="str">
        <x:v>Đề xuất T+; nguồn tham khảo khái niệm</x:v>
      </x:c>
      <x:c r="M221" s="11" t="str">
        <x:v>N06 N14 N17 N18 N19</x:v>
      </x:c>
      <x:c r="N221" s="14" t="str">
        <x:v>Chưa chọn</x:v>
      </x:c>
      <x:c r="O221" s="14"/>
      <x:c r="P221" s="14"/>
    </x:row>
    <x:row r="222" ht="42" customHeight="1">
      <x:c r="A222" s="12" t="str">
        <x:v>DOC-01</x:v>
      </x:c>
      <x:c r="B222" s="10" t="str">
        <x:v>Bản vẽ và ký hiệu</x:v>
      </x:c>
      <x:c r="C222" s="10" t="str">
        <x:v>drawing_template_id</x:v>
      </x:c>
      <x:c r="D222" s="10" t="str">
        <x:v>Mẫu bản vẽ</x:v>
      </x:c>
      <x:c r="E222" s="10" t="str">
        <x:v>Tham chiếu</x:v>
      </x:c>
      <x:c r="F222" s="10" t="str"/>
      <x:c r="G222" s="15"/>
      <x:c r="H222" s="10" t="str">
        <x:v>Theo T+</x:v>
      </x:c>
      <x:c r="I222" s="10" t="str">
        <x:v>Khổ giấy và tỷ lệ theo mẫu</x:v>
      </x:c>
      <x:c r="J222" s="10" t="str">
        <x:v>Dự án</x:v>
      </x:c>
      <x:c r="K222" s="10" t="str">
        <x:v>P1</x:v>
      </x:c>
      <x:c r="L222" s="10" t="str">
        <x:v>Đề xuất T+; nguồn tham khảo khái niệm</x:v>
      </x:c>
      <x:c r="M222" s="10" t="str">
        <x:v>N05 N07 N16</x:v>
      </x:c>
      <x:c r="N222" s="14" t="str">
        <x:v>Chưa chọn</x:v>
      </x:c>
      <x:c r="O222" s="14"/>
      <x:c r="P222" s="14"/>
    </x:row>
    <x:row r="223" ht="42" customHeight="1">
      <x:c r="A223" s="13" t="str">
        <x:v>DOC-02</x:v>
      </x:c>
      <x:c r="B223" s="11" t="str">
        <x:v>Bản vẽ và ký hiệu</x:v>
      </x:c>
      <x:c r="C223" s="11" t="str">
        <x:v>dimension_reference</x:v>
      </x:c>
      <x:c r="D223" s="11" t="str">
        <x:v>Mốc ghi kích thước</x:v>
      </x:c>
      <x:c r="E223" s="11" t="str">
        <x:v>Danh sách</x:v>
      </x:c>
      <x:c r="F223" s="11" t="str"/>
      <x:c r="G223" s="16" t="str">
        <x:v>Finished</x:v>
      </x:c>
      <x:c r="H223" s="11" t="str">
        <x:v>Finished; Core; Blank</x:v>
      </x:c>
      <x:c r="I223" s="11" t="str">
        <x:v>Ghi rõ trên từng bản vẽ</x:v>
      </x:c>
      <x:c r="J223" s="11" t="str">
        <x:v>Dự án</x:v>
      </x:c>
      <x:c r="K223" s="11" t="str">
        <x:v>P1</x:v>
      </x:c>
      <x:c r="L223" s="11" t="str">
        <x:v>Đề xuất T+; nguồn tham khảo khái niệm</x:v>
      </x:c>
      <x:c r="M223" s="11" t="str">
        <x:v>N05 N07 N16</x:v>
      </x:c>
      <x:c r="N223" s="14" t="str">
        <x:v>Chưa chọn</x:v>
      </x:c>
      <x:c r="O223" s="14"/>
      <x:c r="P223" s="14"/>
    </x:row>
    <x:row r="224" ht="42" customHeight="1">
      <x:c r="A224" s="12" t="str">
        <x:v>DOC-03</x:v>
      </x:c>
      <x:c r="B224" s="10" t="str">
        <x:v>Bản vẽ và ký hiệu</x:v>
      </x:c>
      <x:c r="C224" s="10" t="str">
        <x:v>view_set</x:v>
      </x:c>
      <x:c r="D224" s="10" t="str">
        <x:v>Bộ hình chiếu</x:v>
      </x:c>
      <x:c r="E224" s="10" t="str">
        <x:v>Mảng</x:v>
      </x:c>
      <x:c r="F224" s="10" t="str"/>
      <x:c r="G224" s="15"/>
      <x:c r="H224" s="10" t="str">
        <x:v>Front; Side; Top; Section; Exploded</x:v>
      </x:c>
      <x:c r="I224" s="10" t="str">
        <x:v>Cùng revision với bảng tấm</x:v>
      </x:c>
      <x:c r="J224" s="10" t="str">
        <x:v>Dự án</x:v>
      </x:c>
      <x:c r="K224" s="10" t="str">
        <x:v>P1</x:v>
      </x:c>
      <x:c r="L224" s="10" t="str">
        <x:v>Đề xuất T+; nguồn tham khảo khái niệm</x:v>
      </x:c>
      <x:c r="M224" s="10" t="str">
        <x:v>N05 N07 N16</x:v>
      </x:c>
      <x:c r="N224" s="14" t="str">
        <x:v>Chưa chọn</x:v>
      </x:c>
      <x:c r="O224" s="14"/>
      <x:c r="P224" s="14"/>
    </x:row>
    <x:row r="225" ht="42" customHeight="1">
      <x:c r="A225" s="13" t="str">
        <x:v>DOC-04</x:v>
      </x:c>
      <x:c r="B225" s="11" t="str">
        <x:v>Bản vẽ và ký hiệu</x:v>
      </x:c>
      <x:c r="C225" s="11" t="str">
        <x:v>part_label_template</x:v>
      </x:c>
      <x:c r="D225" s="11" t="str">
        <x:v>Mẫu nhãn tấm</x:v>
      </x:c>
      <x:c r="E225" s="11" t="str">
        <x:v>Tham chiếu</x:v>
      </x:c>
      <x:c r="F225" s="11" t="str"/>
      <x:c r="G225" s="16"/>
      <x:c r="H225" s="11" t="str">
        <x:v>Theo máy in</x:v>
      </x:c>
      <x:c r="I225" s="11" t="str">
        <x:v>Có mã tấm cạnh mặt vân revision</x:v>
      </x:c>
      <x:c r="J225" s="11" t="str">
        <x:v>Dự án</x:v>
      </x:c>
      <x:c r="K225" s="11" t="str">
        <x:v>P1</x:v>
      </x:c>
      <x:c r="L225" s="11" t="str">
        <x:v>Đề xuất T+; nguồn tham khảo khái niệm</x:v>
      </x:c>
      <x:c r="M225" s="11" t="str">
        <x:v>N05 N07 N16</x:v>
      </x:c>
      <x:c r="N225" s="14" t="str">
        <x:v>Chưa chọn</x:v>
      </x:c>
      <x:c r="O225" s="14"/>
      <x:c r="P225" s="14"/>
    </x:row>
    <x:row r="226" ht="42" customHeight="1">
      <x:c r="A226" s="12" t="str">
        <x:v>DOC-05</x:v>
      </x:c>
      <x:c r="B226" s="10" t="str">
        <x:v>Bản vẽ và ký hiệu</x:v>
      </x:c>
      <x:c r="C226" s="10" t="str">
        <x:v>label_width</x:v>
      </x:c>
      <x:c r="D226" s="10" t="str">
        <x:v>Rộng nhãn</x:v>
      </x:c>
      <x:c r="E226" s="10" t="str">
        <x:v>Số</x:v>
      </x:c>
      <x:c r="F226" s="10" t="str">
        <x:v>mm</x:v>
      </x:c>
      <x:c r="G226" s="15"/>
      <x:c r="H226" s="10" t="str">
        <x:v>Theo cuộn nhãn</x:v>
      </x:c>
      <x:c r="I226" s="10" t="str">
        <x:v>Không khóa số khi chưa biết máy in</x:v>
      </x:c>
      <x:c r="J226" s="10" t="str">
        <x:v>Dự án</x:v>
      </x:c>
      <x:c r="K226" s="10" t="str">
        <x:v>P1</x:v>
      </x:c>
      <x:c r="L226" s="10" t="str">
        <x:v>Đề xuất T+; nguồn tham khảo khái niệm</x:v>
      </x:c>
      <x:c r="M226" s="10" t="str">
        <x:v>N05 N07 N16</x:v>
      </x:c>
      <x:c r="N226" s="14" t="str">
        <x:v>Chưa chọn</x:v>
      </x:c>
      <x:c r="O226" s="14"/>
      <x:c r="P226" s="14"/>
    </x:row>
    <x:row r="227" ht="42" customHeight="1">
      <x:c r="A227" s="13" t="str">
        <x:v>DOC-06</x:v>
      </x:c>
      <x:c r="B227" s="11" t="str">
        <x:v>Bản vẽ và ký hiệu</x:v>
      </x:c>
      <x:c r="C227" s="11" t="str">
        <x:v>label_height</x:v>
      </x:c>
      <x:c r="D227" s="11" t="str">
        <x:v>Cao nhãn</x:v>
      </x:c>
      <x:c r="E227" s="11" t="str">
        <x:v>Số</x:v>
      </x:c>
      <x:c r="F227" s="11" t="str">
        <x:v>mm</x:v>
      </x:c>
      <x:c r="G227" s="16"/>
      <x:c r="H227" s="11" t="str">
        <x:v>Theo cuộn nhãn</x:v>
      </x:c>
      <x:c r="I227" s="11" t="str">
        <x:v>Kiểm đọc mã thật</x:v>
      </x:c>
      <x:c r="J227" s="11" t="str">
        <x:v>Dự án</x:v>
      </x:c>
      <x:c r="K227" s="11" t="str">
        <x:v>P1</x:v>
      </x:c>
      <x:c r="L227" s="11" t="str">
        <x:v>Đề xuất T+; nguồn tham khảo khái niệm</x:v>
      </x:c>
      <x:c r="M227" s="11" t="str">
        <x:v>N05 N07 N16</x:v>
      </x:c>
      <x:c r="N227" s="14" t="str">
        <x:v>Chưa chọn</x:v>
      </x:c>
      <x:c r="O227" s="14"/>
      <x:c r="P227" s="14"/>
    </x:row>
    <x:row r="228" ht="42" customHeight="1">
      <x:c r="A228" s="12" t="str">
        <x:v>DOC-07</x:v>
      </x:c>
      <x:c r="B228" s="10" t="str">
        <x:v>Bản vẽ và ký hiệu</x:v>
      </x:c>
      <x:c r="C228" s="10" t="str">
        <x:v>barcode_payload</x:v>
      </x:c>
      <x:c r="D228" s="10" t="str">
        <x:v>Nội dung mã vạch</x:v>
      </x:c>
      <x:c r="E228" s="10" t="str">
        <x:v>Cấu trúc</x:v>
      </x:c>
      <x:c r="F228" s="10" t="str"/>
      <x:c r="G228" s="15"/>
      <x:c r="H228" s="10" t="str">
        <x:v>Job part revision route</x:v>
      </x:c>
      <x:c r="I228" s="10" t="str">
        <x:v>Không chỉ chứa tên dễ trùng</x:v>
      </x:c>
      <x:c r="J228" s="10" t="str">
        <x:v>Dự án</x:v>
      </x:c>
      <x:c r="K228" s="10" t="str">
        <x:v>P1</x:v>
      </x:c>
      <x:c r="L228" s="10" t="str">
        <x:v>Đề xuất T+; nguồn tham khảo khái niệm</x:v>
      </x:c>
      <x:c r="M228" s="10" t="str">
        <x:v>N05 N07 N16</x:v>
      </x:c>
      <x:c r="N228" s="14" t="str">
        <x:v>Chưa chọn</x:v>
      </x:c>
      <x:c r="O228" s="14"/>
      <x:c r="P228" s="14"/>
    </x:row>
    <x:row r="229" ht="42" customHeight="1">
      <x:c r="A229" s="13" t="str">
        <x:v>DOC-08</x:v>
      </x:c>
      <x:c r="B229" s="11" t="str">
        <x:v>Bản vẽ và ký hiệu</x:v>
      </x:c>
      <x:c r="C229" s="11" t="str">
        <x:v>door_symbol_rule</x:v>
      </x:c>
      <x:c r="D229" s="11" t="str">
        <x:v>Quy ước ký hiệu cánh</x:v>
      </x:c>
      <x:c r="E229" s="11" t="str">
        <x:v>Tham chiếu</x:v>
      </x:c>
      <x:c r="F229" s="11" t="str"/>
      <x:c r="G229" s="16"/>
      <x:c r="H229" s="11" t="str">
        <x:v>Mẫu T+ phê duyệt</x:v>
      </x:c>
      <x:c r="I229" s="11" t="str">
        <x:v>Không tự gọi một quy ước là chuẩn quốc tế duy nhất</x:v>
      </x:c>
      <x:c r="J229" s="11" t="str">
        <x:v>Dự án</x:v>
      </x:c>
      <x:c r="K229" s="11" t="str">
        <x:v>P1</x:v>
      </x:c>
      <x:c r="L229" s="11" t="str">
        <x:v>Đề xuất T+; nguồn tham khảo khái niệm</x:v>
      </x:c>
      <x:c r="M229" s="11" t="str">
        <x:v>N05 N07 N16</x:v>
      </x:c>
      <x:c r="N229" s="14" t="str">
        <x:v>Chưa chọn</x:v>
      </x:c>
      <x:c r="O229" s="14"/>
      <x:c r="P229" s="14"/>
    </x:row>
    <x:row r="230" ht="42" customHeight="1">
      <x:c r="A230" s="12" t="str">
        <x:v>DOC-09</x:v>
      </x:c>
      <x:c r="B230" s="10" t="str">
        <x:v>Bản vẽ và ký hiệu</x:v>
      </x:c>
      <x:c r="C230" s="10" t="str">
        <x:v>drawer_symbol_mode</x:v>
      </x:c>
      <x:c r="D230" s="10" t="str">
        <x:v>Ký hiệu ngăn kéo</x:v>
      </x:c>
      <x:c r="E230" s="10" t="str">
        <x:v>Danh sách</x:v>
      </x:c>
      <x:c r="F230" s="10" t="str"/>
      <x:c r="G230" s="15" t="str">
        <x:v>Một đường chéo guide</x:v>
      </x:c>
      <x:c r="H230" s="10" t="str">
        <x:v>Guide; None</x:v>
      </x:c>
      <x:c r="I230" s="10" t="str">
        <x:v>Trong group mặt cánh và có thể Delete Guides</x:v>
      </x:c>
      <x:c r="J230" s="10" t="str">
        <x:v>Dự án</x:v>
      </x:c>
      <x:c r="K230" s="10" t="str">
        <x:v>P1</x:v>
      </x:c>
      <x:c r="L230" s="10" t="str">
        <x:v>Yêu cầu T+ trước đây; cần chốt lại</x:v>
      </x:c>
      <x:c r="M230" s="10" t="str">
        <x:v>N05 N07 N16</x:v>
      </x:c>
      <x:c r="N230" s="14" t="str">
        <x:v>Chưa chọn</x:v>
      </x:c>
      <x:c r="O230" s="14"/>
      <x:c r="P230" s="14"/>
    </x:row>
    <x:row r="231" ht="42" customHeight="1">
      <x:c r="A231" s="13" t="str">
        <x:v>DOC-10</x:v>
      </x:c>
      <x:c r="B231" s="11" t="str">
        <x:v>Bản vẽ và ký hiệu</x:v>
      </x:c>
      <x:c r="C231" s="11" t="str">
        <x:v>symbol_tag</x:v>
      </x:c>
      <x:c r="D231" s="11" t="str">
        <x:v>Tag ký hiệu</x:v>
      </x:c>
      <x:c r="E231" s="11" t="str">
        <x:v>Chuỗi</x:v>
      </x:c>
      <x:c r="F231" s="11" t="str"/>
      <x:c r="G231" s="16"/>
      <x:c r="H231" s="11" t="str">
        <x:v>Theo T+</x:v>
      </x:c>
      <x:c r="I231" s="11" t="str">
        <x:v>Ký hiệu không vào BOM hoặc CAM</x:v>
      </x:c>
      <x:c r="J231" s="11" t="str">
        <x:v>Dự án</x:v>
      </x:c>
      <x:c r="K231" s="11" t="str">
        <x:v>P1</x:v>
      </x:c>
      <x:c r="L231" s="11" t="str">
        <x:v>Đề xuất T+; nguồn tham khảo khái niệm</x:v>
      </x:c>
      <x:c r="M231" s="11" t="str">
        <x:v>N05 N07 N16</x:v>
      </x:c>
      <x:c r="N231" s="14" t="str">
        <x:v>Chưa chọn</x:v>
      </x:c>
      <x:c r="O231" s="14"/>
      <x:c r="P231" s="14"/>
    </x:row>
    <x:row r="232" ht="42" customHeight="1">
      <x:c r="A232" s="12" t="str">
        <x:v>REV-01</x:v>
      </x:c>
      <x:c r="B232" s="10" t="str">
        <x:v>Định danh và phát hành</x:v>
      </x:c>
      <x:c r="C232" s="10" t="str">
        <x:v>cabinet_uuid</x:v>
      </x:c>
      <x:c r="D232" s="10" t="str">
        <x:v>ID tủ</x:v>
      </x:c>
      <x:c r="E232" s="10" t="str">
        <x:v>Chuỗi</x:v>
      </x:c>
      <x:c r="F232" s="10" t="str"/>
      <x:c r="G232" s="15"/>
      <x:c r="H232" s="10" t="str">
        <x:v>Duy nhất mỗi instance</x:v>
      </x:c>
      <x:c r="I232" s="10" t="str">
        <x:v>Copy tạo ID mới</x:v>
      </x:c>
      <x:c r="J232" s="10" t="str">
        <x:v>Dự án và tấm</x:v>
      </x:c>
      <x:c r="K232" s="10" t="str">
        <x:v>P0</x:v>
      </x:c>
      <x:c r="L232" s="10" t="str">
        <x:v>Đề xuất T+; nguồn tham khảo khái niệm</x:v>
      </x:c>
      <x:c r="M232" s="10" t="str">
        <x:v>N16 N27 N30</x:v>
      </x:c>
      <x:c r="N232" s="14" t="str">
        <x:v>Chưa chọn</x:v>
      </x:c>
      <x:c r="O232" s="14"/>
      <x:c r="P232" s="14"/>
    </x:row>
    <x:row r="233" ht="42" customHeight="1">
      <x:c r="A233" s="13" t="str">
        <x:v>REV-02</x:v>
      </x:c>
      <x:c r="B233" s="11" t="str">
        <x:v>Định danh và phát hành</x:v>
      </x:c>
      <x:c r="C233" s="11" t="str">
        <x:v>part_uuid</x:v>
      </x:c>
      <x:c r="D233" s="11" t="str">
        <x:v>ID tấm</x:v>
      </x:c>
      <x:c r="E233" s="11" t="str">
        <x:v>Chuỗi</x:v>
      </x:c>
      <x:c r="F233" s="11" t="str"/>
      <x:c r="G233" s="16"/>
      <x:c r="H233" s="11" t="str">
        <x:v>Duy nhất mỗi instance</x:v>
      </x:c>
      <x:c r="I233" s="11" t="str">
        <x:v>Tên không phải ID</x:v>
      </x:c>
      <x:c r="J233" s="11" t="str">
        <x:v>Dự án và tấm</x:v>
      </x:c>
      <x:c r="K233" s="11" t="str">
        <x:v>P0</x:v>
      </x:c>
      <x:c r="L233" s="11" t="str">
        <x:v>Đề xuất T+; nguồn tham khảo khái niệm</x:v>
      </x:c>
      <x:c r="M233" s="11" t="str">
        <x:v>N16 N27 N30</x:v>
      </x:c>
      <x:c r="N233" s="14" t="str">
        <x:v>Chưa chọn</x:v>
      </x:c>
      <x:c r="O233" s="14"/>
      <x:c r="P233" s="14"/>
    </x:row>
    <x:row r="234" ht="42" customHeight="1">
      <x:c r="A234" s="12" t="str">
        <x:v>REV-03</x:v>
      </x:c>
      <x:c r="B234" s="10" t="str">
        <x:v>Định danh và phát hành</x:v>
      </x:c>
      <x:c r="C234" s="10" t="str">
        <x:v>part_role</x:v>
      </x:c>
      <x:c r="D234" s="10" t="str">
        <x:v>Vai trò tấm</x:v>
      </x:c>
      <x:c r="E234" s="10" t="str">
        <x:v>Danh sách</x:v>
      </x:c>
      <x:c r="F234" s="10" t="str"/>
      <x:c r="G234" s="15"/>
      <x:c r="H234" s="10" t="str">
        <x:v>Hoi_trai; Hoi_phai; Noc; Day; Hau; Dot; Canh</x:v>
      </x:c>
      <x:c r="I234" s="10" t="str">
        <x:v>Không suy chỉ bằng tag</x:v>
      </x:c>
      <x:c r="J234" s="10" t="str">
        <x:v>Dự án và tấm</x:v>
      </x:c>
      <x:c r="K234" s="10" t="str">
        <x:v>P0</x:v>
      </x:c>
      <x:c r="L234" s="10" t="str">
        <x:v>Đề xuất T+; nguồn tham khảo khái niệm</x:v>
      </x:c>
      <x:c r="M234" s="10" t="str">
        <x:v>N16 N27 N30</x:v>
      </x:c>
      <x:c r="N234" s="14" t="str">
        <x:v>Chưa chọn</x:v>
      </x:c>
      <x:c r="O234" s="14"/>
      <x:c r="P234" s="14"/>
    </x:row>
    <x:row r="235" ht="42" customHeight="1">
      <x:c r="A235" s="13" t="str">
        <x:v>REV-04</x:v>
      </x:c>
      <x:c r="B235" s="11" t="str">
        <x:v>Định danh và phát hành</x:v>
      </x:c>
      <x:c r="C235" s="11" t="str">
        <x:v>part_name_vi</x:v>
      </x:c>
      <x:c r="D235" s="11" t="str">
        <x:v>Tên tấm tiếng Việt</x:v>
      </x:c>
      <x:c r="E235" s="11" t="str">
        <x:v>Chuỗi</x:v>
      </x:c>
      <x:c r="F235" s="11" t="str"/>
      <x:c r="G235" s="16"/>
      <x:c r="H235" s="11" t="str">
        <x:v>Theo quy tắc T+</x:v>
      </x:c>
      <x:c r="I235" s="11" t="str">
        <x:v>Tách khỏi tên file máy</x:v>
      </x:c>
      <x:c r="J235" s="11" t="str">
        <x:v>Dự án và tấm</x:v>
      </x:c>
      <x:c r="K235" s="11" t="str">
        <x:v>P0</x:v>
      </x:c>
      <x:c r="L235" s="11" t="str">
        <x:v>Đề xuất T+; nguồn tham khảo khái niệm</x:v>
      </x:c>
      <x:c r="M235" s="11" t="str">
        <x:v>N16 N27 N30</x:v>
      </x:c>
      <x:c r="N235" s="14" t="str">
        <x:v>Chưa chọn</x:v>
      </x:c>
      <x:c r="O235" s="14"/>
      <x:c r="P235" s="14"/>
    </x:row>
    <x:row r="236" ht="42" customHeight="1">
      <x:c r="A236" s="12" t="str">
        <x:v>REV-05</x:v>
      </x:c>
      <x:c r="B236" s="10" t="str">
        <x:v>Định danh và phát hành</x:v>
      </x:c>
      <x:c r="C236" s="10" t="str">
        <x:v>part_revision</x:v>
      </x:c>
      <x:c r="D236" s="10" t="str">
        <x:v>Lần sửa tấm</x:v>
      </x:c>
      <x:c r="E236" s="10" t="str">
        <x:v>Số nguyên</x:v>
      </x:c>
      <x:c r="F236" s="10" t="str"/>
      <x:c r="G236" s="15" t="n">
        <x:v>1</x:v>
      </x:c>
      <x:c r="H236" s="10" t="str">
        <x:v>Từ 1</x:v>
      </x:c>
      <x:c r="I236" s="10" t="str">
        <x:v>Đổi khi dữ liệu sản xuất đổi</x:v>
      </x:c>
      <x:c r="J236" s="10" t="str">
        <x:v>Dự án và tấm</x:v>
      </x:c>
      <x:c r="K236" s="10" t="str">
        <x:v>P0</x:v>
      </x:c>
      <x:c r="L236" s="10" t="str">
        <x:v>Đề xuất T+; nguồn tham khảo khái niệm</x:v>
      </x:c>
      <x:c r="M236" s="10" t="str">
        <x:v>N16 N27 N30</x:v>
      </x:c>
      <x:c r="N236" s="14" t="str">
        <x:v>Chưa chọn</x:v>
      </x:c>
      <x:c r="O236" s="14"/>
      <x:c r="P236" s="14"/>
    </x:row>
    <x:row r="237" ht="42" customHeight="1">
      <x:c r="A237" s="13" t="str">
        <x:v>REV-06</x:v>
      </x:c>
      <x:c r="B237" s="11" t="str">
        <x:v>Định danh và phát hành</x:v>
      </x:c>
      <x:c r="C237" s="11" t="str">
        <x:v>geometry_hash</x:v>
      </x:c>
      <x:c r="D237" s="11" t="str">
        <x:v>Dấu kiểm hình học</x:v>
      </x:c>
      <x:c r="E237" s="11" t="str">
        <x:v>Chuỗi</x:v>
      </x:c>
      <x:c r="F237" s="11" t="str"/>
      <x:c r="G237" s="16"/>
      <x:c r="H237" s="11" t="str">
        <x:v>Sinh tự động</x:v>
      </x:c>
      <x:c r="I237" s="11" t="str">
        <x:v>Phát hiện sửa ngoài bộ tham số</x:v>
      </x:c>
      <x:c r="J237" s="11" t="str">
        <x:v>Dự án và tấm</x:v>
      </x:c>
      <x:c r="K237" s="11" t="str">
        <x:v>P0</x:v>
      </x:c>
      <x:c r="L237" s="11" t="str">
        <x:v>Đề xuất T+; nguồn tham khảo khái niệm</x:v>
      </x:c>
      <x:c r="M237" s="11" t="str">
        <x:v>N16 N27 N30</x:v>
      </x:c>
      <x:c r="N237" s="14" t="str">
        <x:v>Chưa chọn</x:v>
      </x:c>
      <x:c r="O237" s="14"/>
      <x:c r="P237" s="14"/>
    </x:row>
    <x:row r="238" ht="42" customHeight="1">
      <x:c r="A238" s="12" t="str">
        <x:v>REV-07</x:v>
      </x:c>
      <x:c r="B238" s="10" t="str">
        <x:v>Định danh và phát hành</x:v>
      </x:c>
      <x:c r="C238" s="10" t="str">
        <x:v>machining_hash</x:v>
      </x:c>
      <x:c r="D238" s="10" t="str">
        <x:v>Dấu kiểm nguyên công</x:v>
      </x:c>
      <x:c r="E238" s="10" t="str">
        <x:v>Chuỗi</x:v>
      </x:c>
      <x:c r="F238" s="10" t="str"/>
      <x:c r="G238" s="15"/>
      <x:c r="H238" s="10" t="str">
        <x:v>Sinh tự động</x:v>
      </x:c>
      <x:c r="I238" s="10" t="str">
        <x:v>Cùng hình nhưng khác khoan không gộp</x:v>
      </x:c>
      <x:c r="J238" s="10" t="str">
        <x:v>Dự án và tấm</x:v>
      </x:c>
      <x:c r="K238" s="10" t="str">
        <x:v>P0</x:v>
      </x:c>
      <x:c r="L238" s="10" t="str">
        <x:v>Đề xuất T+; nguồn tham khảo khái niệm</x:v>
      </x:c>
      <x:c r="M238" s="10" t="str">
        <x:v>N16 N27 N30</x:v>
      </x:c>
      <x:c r="N238" s="14" t="str">
        <x:v>Chưa chọn</x:v>
      </x:c>
      <x:c r="O238" s="14"/>
      <x:c r="P238" s="14"/>
    </x:row>
    <x:row r="239" ht="42" customHeight="1">
      <x:c r="A239" s="13" t="str">
        <x:v>REV-08</x:v>
      </x:c>
      <x:c r="B239" s="11" t="str">
        <x:v>Định danh và phát hành</x:v>
      </x:c>
      <x:c r="C239" s="11" t="str">
        <x:v>release_id</x:v>
      </x:c>
      <x:c r="D239" s="11" t="str">
        <x:v>Mã đợt phát hành</x:v>
      </x:c>
      <x:c r="E239" s="11" t="str">
        <x:v>Chuỗi</x:v>
      </x:c>
      <x:c r="F239" s="11" t="str"/>
      <x:c r="G239" s="16"/>
      <x:c r="H239" s="11" t="str">
        <x:v>Duy nhất</x:v>
      </x:c>
      <x:c r="I239" s="11" t="str">
        <x:v>Bản vẽ BOM nhãn CAM cùng đợt</x:v>
      </x:c>
      <x:c r="J239" s="11" t="str">
        <x:v>Dự án và tấm</x:v>
      </x:c>
      <x:c r="K239" s="11" t="str">
        <x:v>P0</x:v>
      </x:c>
      <x:c r="L239" s="11" t="str">
        <x:v>Đề xuất T+; nguồn tham khảo khái niệm</x:v>
      </x:c>
      <x:c r="M239" s="11" t="str">
        <x:v>N16 N27 N30</x:v>
      </x:c>
      <x:c r="N239" s="14" t="str">
        <x:v>Chưa chọn</x:v>
      </x:c>
      <x:c r="O239" s="14"/>
      <x:c r="P239" s="14"/>
    </x:row>
    <x:row r="240" ht="42" customHeight="1">
      <x:c r="A240" s="12" t="str">
        <x:v>REV-09</x:v>
      </x:c>
      <x:c r="B240" s="10" t="str">
        <x:v>Định danh và phát hành</x:v>
      </x:c>
      <x:c r="C240" s="10" t="str">
        <x:v>release_status</x:v>
      </x:c>
      <x:c r="D240" s="10" t="str">
        <x:v>Trạng thái phát hành</x:v>
      </x:c>
      <x:c r="E240" s="10" t="str">
        <x:v>Danh sách</x:v>
      </x:c>
      <x:c r="F240" s="10" t="str"/>
      <x:c r="G240" s="15" t="str">
        <x:v>Draft</x:v>
      </x:c>
      <x:c r="H240" s="10" t="str">
        <x:v>Draft; Review; Released; Obsolete</x:v>
      </x:c>
      <x:c r="I240" s="10" t="str">
        <x:v>Đổi thiết kế làm gói cũ lỗi thời</x:v>
      </x:c>
      <x:c r="J240" s="10" t="str">
        <x:v>Dự án và tấm</x:v>
      </x:c>
      <x:c r="K240" s="10" t="str">
        <x:v>P0</x:v>
      </x:c>
      <x:c r="L240" s="10" t="str">
        <x:v>Đề xuất T+; nguồn tham khảo khái niệm</x:v>
      </x:c>
      <x:c r="M240" s="10" t="str">
        <x:v>N16 N27 N30</x:v>
      </x:c>
      <x:c r="N240" s="14" t="str">
        <x:v>Chưa chọn</x:v>
      </x:c>
      <x:c r="O240" s="14"/>
      <x:c r="P240" s="14"/>
    </x:row>
    <x:row r="241" ht="42" customHeight="1">
      <x:c r="A241" s="13" t="str">
        <x:v>REV-10</x:v>
      </x:c>
      <x:c r="B241" s="11" t="str">
        <x:v>Định danh và phát hành</x:v>
      </x:c>
      <x:c r="C241" s="11" t="str">
        <x:v>override_reason</x:v>
      </x:c>
      <x:c r="D241" s="11" t="str">
        <x:v>Lý do chỉnh tay</x:v>
      </x:c>
      <x:c r="E241" s="11" t="str">
        <x:v>Chuỗi</x:v>
      </x:c>
      <x:c r="F241" s="11" t="str"/>
      <x:c r="G241" s="16"/>
      <x:c r="H241" s="11" t="str">
        <x:v>Bắt buộc khi override sản xuất</x:v>
      </x:c>
      <x:c r="I241" s="11" t="str">
        <x:v>Không xóa khi regenerate</x:v>
      </x:c>
      <x:c r="J241" s="11" t="str">
        <x:v>Dự án và tấm</x:v>
      </x:c>
      <x:c r="K241" s="11" t="str">
        <x:v>P0</x:v>
      </x:c>
      <x:c r="L241" s="11" t="str">
        <x:v>Đề xuất T+; nguồn tham khảo khái niệm</x:v>
      </x:c>
      <x:c r="M241" s="11" t="str">
        <x:v>N16 N27 N30</x:v>
      </x:c>
      <x:c r="N241" s="14" t="str">
        <x:v>Chưa chọn</x:v>
      </x:c>
      <x:c r="O241" s="14"/>
      <x:c r="P241" s="14"/>
    </x:row>
    <x:row r="242" ht="42" customHeight="1">
      <x:c r="A242" s="12" t="str">
        <x:v>REV-11</x:v>
      </x:c>
      <x:c r="B242" s="10" t="str">
        <x:v>Định danh và phát hành</x:v>
      </x:c>
      <x:c r="C242" s="10" t="str">
        <x:v>remake_of</x:v>
      </x:c>
      <x:c r="D242" s="10" t="str">
        <x:v>Tấm gốc cần làm lại</x:v>
      </x:c>
      <x:c r="E242" s="10" t="str">
        <x:v>Tham chiếu</x:v>
      </x:c>
      <x:c r="F242" s="10" t="str"/>
      <x:c r="G242" s="15"/>
      <x:c r="H242" s="10" t="str">
        <x:v>ID và revision</x:v>
      </x:c>
      <x:c r="I242" s="10" t="str">
        <x:v>Không tăng số lượng cả tủ</x:v>
      </x:c>
      <x:c r="J242" s="10" t="str">
        <x:v>Dự án và tấm</x:v>
      </x:c>
      <x:c r="K242" s="10" t="str">
        <x:v>P0</x:v>
      </x:c>
      <x:c r="L242" s="10" t="str">
        <x:v>Đề xuất T+; nguồn tham khảo khái niệm</x:v>
      </x:c>
      <x:c r="M242" s="10" t="str">
        <x:v>N16 N27 N30</x:v>
      </x:c>
      <x:c r="N242" s="14" t="str">
        <x:v>Chưa chọn</x:v>
      </x:c>
      <x:c r="O242" s="14"/>
      <x:c r="P242" s="14"/>
    </x:row>
    <x:row r="243" ht="42" customHeight="1">
      <x:c r="A243" s="13" t="str">
        <x:v>REV-12</x:v>
      </x:c>
      <x:c r="B243" s="11" t="str">
        <x:v>Định danh và phát hành</x:v>
      </x:c>
      <x:c r="C243" s="11" t="str">
        <x:v>export_filename_rule</x:v>
      </x:c>
      <x:c r="D243" s="11" t="str">
        <x:v>Tên file CAM</x:v>
      </x:c>
      <x:c r="E243" s="11" t="str">
        <x:v>Biểu thức</x:v>
      </x:c>
      <x:c r="F243" s="11" t="str"/>
      <x:c r="G243" s="16"/>
      <x:c r="H243" s="11" t="str">
        <x:v>ID ngắn không dấu</x:v>
      </x:c>
      <x:c r="I243" s="11" t="str">
        <x:v>Giữ tên tiếng Việt trong manifest</x:v>
      </x:c>
      <x:c r="J243" s="11" t="str">
        <x:v>Dự án và tấm</x:v>
      </x:c>
      <x:c r="K243" s="11" t="str">
        <x:v>P0</x:v>
      </x:c>
      <x:c r="L243" s="11" t="str">
        <x:v>Đề xuất T+; nguồn tham khảo khái niệm</x:v>
      </x:c>
      <x:c r="M243" s="11" t="str">
        <x:v>N16 N27 N30</x:v>
      </x:c>
      <x:c r="N243" s="14" t="str">
        <x:v>Chưa chọn</x:v>
      </x:c>
      <x:c r="O243" s="14"/>
      <x:c r="P243" s="14"/>
    </x:row>
    <x:row r="244" ht="42" customHeight="1">
      <x:c r="A244" s="12" t="str">
        <x:v>COST-01</x:v>
      </x:c>
      <x:c r="B244" s="10" t="str">
        <x:v>Bóc vật tư và giá thành</x:v>
      </x:c>
      <x:c r="C244" s="10" t="str">
        <x:v>price_sheet</x:v>
      </x:c>
      <x:c r="D244" s="10" t="str">
        <x:v>Giá ván</x:v>
      </x:c>
      <x:c r="E244" s="10" t="str">
        <x:v>Số</x:v>
      </x:c>
      <x:c r="F244" s="10" t="str">
        <x:v>VND/tấm</x:v>
      </x:c>
      <x:c r="G244" s="15"/>
      <x:c r="H244" s="10" t="str">
        <x:v>Không âm</x:v>
      </x:c>
      <x:c r="I244" s="10" t="str">
        <x:v>Có ngày báo giá và thuế tách rõ</x:v>
      </x:c>
      <x:c r="J244" s="10" t="str">
        <x:v>Dự án</x:v>
      </x:c>
      <x:c r="K244" s="10" t="str">
        <x:v>P2</x:v>
      </x:c>
      <x:c r="L244" s="10" t="str">
        <x:v>Đề xuất T+; nguồn tham khảo khái niệm</x:v>
      </x:c>
      <x:c r="M244" s="10" t="str">
        <x:v>N11 N16</x:v>
      </x:c>
      <x:c r="N244" s="14" t="str">
        <x:v>Chưa chọn</x:v>
      </x:c>
      <x:c r="O244" s="14"/>
      <x:c r="P244" s="14"/>
    </x:row>
    <x:row r="245" ht="42" customHeight="1">
      <x:c r="A245" s="13" t="str">
        <x:v>COST-02</x:v>
      </x:c>
      <x:c r="B245" s="11" t="str">
        <x:v>Bóc vật tư và giá thành</x:v>
      </x:c>
      <x:c r="C245" s="11" t="str">
        <x:v>price_edge</x:v>
      </x:c>
      <x:c r="D245" s="11" t="str">
        <x:v>Giá nẹp</x:v>
      </x:c>
      <x:c r="E245" s="11" t="str">
        <x:v>Số</x:v>
      </x:c>
      <x:c r="F245" s="11" t="str">
        <x:v>VND/m</x:v>
      </x:c>
      <x:c r="G245" s="16"/>
      <x:c r="H245" s="11" t="str">
        <x:v>Không âm</x:v>
      </x:c>
      <x:c r="I245" s="11" t="str">
        <x:v>Theo mã nẹp</x:v>
      </x:c>
      <x:c r="J245" s="11" t="str">
        <x:v>Dự án</x:v>
      </x:c>
      <x:c r="K245" s="11" t="str">
        <x:v>P2</x:v>
      </x:c>
      <x:c r="L245" s="11" t="str">
        <x:v>Đề xuất T+; nguồn tham khảo khái niệm</x:v>
      </x:c>
      <x:c r="M245" s="11" t="str">
        <x:v>N11 N16</x:v>
      </x:c>
      <x:c r="N245" s="14" t="str">
        <x:v>Chưa chọn</x:v>
      </x:c>
      <x:c r="O245" s="14"/>
      <x:c r="P245" s="14"/>
    </x:row>
    <x:row r="246" ht="42" customHeight="1">
      <x:c r="A246" s="12" t="str">
        <x:v>COST-03</x:v>
      </x:c>
      <x:c r="B246" s="10" t="str">
        <x:v>Bóc vật tư và giá thành</x:v>
      </x:c>
      <x:c r="C246" s="10" t="str">
        <x:v>price_hardware</x:v>
      </x:c>
      <x:c r="D246" s="10" t="str">
        <x:v>Giá phụ kiện</x:v>
      </x:c>
      <x:c r="E246" s="10" t="str">
        <x:v>Số</x:v>
      </x:c>
      <x:c r="F246" s="10" t="str">
        <x:v>VND/bộ</x:v>
      </x:c>
      <x:c r="G246" s="15"/>
      <x:c r="H246" s="10" t="str">
        <x:v>Không âm</x:v>
      </x:c>
      <x:c r="I246" s="10" t="str">
        <x:v>Không nhầm cái và bộ</x:v>
      </x:c>
      <x:c r="J246" s="10" t="str">
        <x:v>Dự án</x:v>
      </x:c>
      <x:c r="K246" s="10" t="str">
        <x:v>P2</x:v>
      </x:c>
      <x:c r="L246" s="10" t="str">
        <x:v>Đề xuất T+; nguồn tham khảo khái niệm</x:v>
      </x:c>
      <x:c r="M246" s="10" t="str">
        <x:v>N11 N16</x:v>
      </x:c>
      <x:c r="N246" s="14" t="str">
        <x:v>Chưa chọn</x:v>
      </x:c>
      <x:c r="O246" s="14"/>
      <x:c r="P246" s="14"/>
    </x:row>
    <x:row r="247" ht="42" customHeight="1">
      <x:c r="A247" s="13" t="str">
        <x:v>COST-04</x:v>
      </x:c>
      <x:c r="B247" s="11" t="str">
        <x:v>Bóc vật tư và giá thành</x:v>
      </x:c>
      <x:c r="C247" s="11" t="str">
        <x:v>cost_machine_rate</x:v>
      </x:c>
      <x:c r="D247" s="11" t="str">
        <x:v>Đơn giá máy</x:v>
      </x:c>
      <x:c r="E247" s="11" t="str">
        <x:v>Số</x:v>
      </x:c>
      <x:c r="F247" s="11" t="str">
        <x:v>VND/phút</x:v>
      </x:c>
      <x:c r="G247" s="16"/>
      <x:c r="H247" s="11" t="str">
        <x:v>Không âm</x:v>
      </x:c>
      <x:c r="I247" s="11" t="str">
        <x:v>Theo xưởng</x:v>
      </x:c>
      <x:c r="J247" s="11" t="str">
        <x:v>Dự án</x:v>
      </x:c>
      <x:c r="K247" s="11" t="str">
        <x:v>P2</x:v>
      </x:c>
      <x:c r="L247" s="11" t="str">
        <x:v>Đề xuất T+; nguồn tham khảo khái niệm</x:v>
      </x:c>
      <x:c r="M247" s="11" t="str">
        <x:v>N11 N16</x:v>
      </x:c>
      <x:c r="N247" s="14" t="str">
        <x:v>Chưa chọn</x:v>
      </x:c>
      <x:c r="O247" s="14"/>
      <x:c r="P247" s="14"/>
    </x:row>
    <x:row r="248" ht="42" customHeight="1">
      <x:c r="A248" s="12" t="str">
        <x:v>COST-05</x:v>
      </x:c>
      <x:c r="B248" s="10" t="str">
        <x:v>Bóc vật tư và giá thành</x:v>
      </x:c>
      <x:c r="C248" s="10" t="str">
        <x:v>cost_labor_rate</x:v>
      </x:c>
      <x:c r="D248" s="10" t="str">
        <x:v>Đơn giá nhân công</x:v>
      </x:c>
      <x:c r="E248" s="10" t="str">
        <x:v>Số</x:v>
      </x:c>
      <x:c r="F248" s="10" t="str">
        <x:v>VND/giờ</x:v>
      </x:c>
      <x:c r="G248" s="15"/>
      <x:c r="H248" s="10" t="str">
        <x:v>Không âm</x:v>
      </x:c>
      <x:c r="I248" s="10" t="str">
        <x:v>Theo công đoạn</x:v>
      </x:c>
      <x:c r="J248" s="10" t="str">
        <x:v>Dự án</x:v>
      </x:c>
      <x:c r="K248" s="10" t="str">
        <x:v>P2</x:v>
      </x:c>
      <x:c r="L248" s="10" t="str">
        <x:v>Đề xuất T+; nguồn tham khảo khái niệm</x:v>
      </x:c>
      <x:c r="M248" s="10" t="str">
        <x:v>N11 N16</x:v>
      </x:c>
      <x:c r="N248" s="14" t="str">
        <x:v>Chưa chọn</x:v>
      </x:c>
      <x:c r="O248" s="14"/>
      <x:c r="P248" s="14"/>
    </x:row>
    <x:row r="249" ht="42" customHeight="1">
      <x:c r="A249" s="13" t="str">
        <x:v>COST-06</x:v>
      </x:c>
      <x:c r="B249" s="11" t="str">
        <x:v>Bóc vật tư và giá thành</x:v>
      </x:c>
      <x:c r="C249" s="11" t="str">
        <x:v>purchase_rounding</x:v>
      </x:c>
      <x:c r="D249" s="11" t="str">
        <x:v>Làm tròn mua hàng</x:v>
      </x:c>
      <x:c r="E249" s="11" t="str">
        <x:v>Danh sách</x:v>
      </x:c>
      <x:c r="F249" s="11" t="str"/>
      <x:c r="G249" s="16" t="str">
        <x:v>Pack</x:v>
      </x:c>
      <x:c r="H249" s="11" t="str">
        <x:v>Exact; Pack; Sheet</x:v>
      </x:c>
      <x:c r="I249" s="11" t="str">
        <x:v>Phân biệt dùng thực với mua</x:v>
      </x:c>
      <x:c r="J249" s="11" t="str">
        <x:v>Dự án</x:v>
      </x:c>
      <x:c r="K249" s="11" t="str">
        <x:v>P2</x:v>
      </x:c>
      <x:c r="L249" s="11" t="str">
        <x:v>Đề xuất T+; nguồn tham khảo khái niệm</x:v>
      </x:c>
      <x:c r="M249" s="11" t="str">
        <x:v>N11 N16</x:v>
      </x:c>
      <x:c r="N249" s="14" t="str">
        <x:v>Chưa chọn</x:v>
      </x:c>
      <x:c r="O249" s="14"/>
      <x:c r="P249" s="14"/>
    </x:row>
    <x:row r="250" ht="42" customHeight="1">
      <x:c r="A250" s="12" t="str">
        <x:v>COST-07</x:v>
      </x:c>
      <x:c r="B250" s="10" t="str">
        <x:v>Bóc vật tư và giá thành</x:v>
      </x:c>
      <x:c r="C250" s="10" t="str">
        <x:v>waste_basis</x:v>
      </x:c>
      <x:c r="D250" s="10" t="str">
        <x:v>Cơ sở hao hụt</x:v>
      </x:c>
      <x:c r="E250" s="10" t="str">
        <x:v>Danh sách</x:v>
      </x:c>
      <x:c r="F250" s="10" t="str"/>
      <x:c r="G250" s="15" t="str">
        <x:v>Nest_result</x:v>
      </x:c>
      <x:c r="H250" s="10" t="str">
        <x:v>Allowance; Nest_result</x:v>
      </x:c>
      <x:c r="I250" s="10" t="str">
        <x:v>Không cộng hai lần hao hụt</x:v>
      </x:c>
      <x:c r="J250" s="10" t="str">
        <x:v>Dự án</x:v>
      </x:c>
      <x:c r="K250" s="10" t="str">
        <x:v>P2</x:v>
      </x:c>
      <x:c r="L250" s="10" t="str">
        <x:v>Đề xuất T+; nguồn tham khảo khái niệm</x:v>
      </x:c>
      <x:c r="M250" s="10" t="str">
        <x:v>N11 N16</x:v>
      </x:c>
      <x:c r="N250" s="14" t="str">
        <x:v>Chưa chọn</x:v>
      </x:c>
      <x:c r="O250" s="14"/>
      <x:c r="P250" s="14"/>
    </x:row>
    <x:row r="251" ht="42" customHeight="1">
      <x:c r="A251" s="13" t="str">
        <x:v>COST-08</x:v>
      </x:c>
      <x:c r="B251" s="11" t="str">
        <x:v>Bóc vật tư và giá thành</x:v>
      </x:c>
      <x:c r="C251" s="11" t="str">
        <x:v>cost_date</x:v>
      </x:c>
      <x:c r="D251" s="11" t="str">
        <x:v>Ngày hiệu lực giá</x:v>
      </x:c>
      <x:c r="E251" s="11" t="str">
        <x:v>Ngày</x:v>
      </x:c>
      <x:c r="F251" s="11" t="str"/>
      <x:c r="G251" s="16"/>
      <x:c r="H251" s="11" t="str">
        <x:v>yyyy-mm-dd</x:v>
      </x:c>
      <x:c r="I251" s="11" t="str">
        <x:v>Không trộn báo giá khác ngày mà không ghi nhận</x:v>
      </x:c>
      <x:c r="J251" s="11" t="str">
        <x:v>Dự án</x:v>
      </x:c>
      <x:c r="K251" s="11" t="str">
        <x:v>P2</x:v>
      </x:c>
      <x:c r="L251" s="11" t="str">
        <x:v>Đề xuất T+; nguồn tham khảo khái niệm</x:v>
      </x:c>
      <x:c r="M251" s="11" t="str">
        <x:v>N11 N16</x:v>
      </x:c>
      <x:c r="N251" s="14" t="str">
        <x:v>Chưa chọn</x:v>
      </x:c>
      <x:c r="O251" s="14"/>
      <x:c r="P251" s="14"/>
    </x:row>
    <x:row r="252" ht="42" customHeight="1">
      <x:c r="A252" s="12" t="str">
        <x:v>ADV-01</x:v>
      </x:c>
      <x:c r="B252" s="10" t="str">
        <x:v>Hình đặc biệt và mở rộng</x:v>
      </x:c>
      <x:c r="C252" s="10" t="str">
        <x:v>panel_outline</x:v>
      </x:c>
      <x:c r="D252" s="10" t="str">
        <x:v>Biên dạng tấm đặc biệt</x:v>
      </x:c>
      <x:c r="E252" s="10" t="str">
        <x:v>Hình học</x:v>
      </x:c>
      <x:c r="F252" s="10" t="str"/>
      <x:c r="G252" s="15"/>
      <x:c r="H252" s="10" t="str">
        <x:v>Polygon và arc</x:v>
      </x:c>
      <x:c r="I252" s="10" t="str">
        <x:v>Không thay bằng bounding box khi xuất CAM</x:v>
      </x:c>
      <x:c r="J252" s="10" t="str">
        <x:v>Tủ và hệ thống</x:v>
      </x:c>
      <x:c r="K252" s="10" t="str">
        <x:v>P2</x:v>
      </x:c>
      <x:c r="L252" s="10" t="str">
        <x:v>Đề xuất T+; nguồn tham khảo khái niệm</x:v>
      </x:c>
      <x:c r="M252" s="10" t="str">
        <x:v>N09 N17 N25</x:v>
      </x:c>
      <x:c r="N252" s="14" t="str">
        <x:v>Chưa chọn</x:v>
      </x:c>
      <x:c r="O252" s="14"/>
      <x:c r="P252" s="14"/>
    </x:row>
    <x:row r="253" ht="42" customHeight="1">
      <x:c r="A253" s="13" t="str">
        <x:v>ADV-02</x:v>
      </x:c>
      <x:c r="B253" s="11" t="str">
        <x:v>Hình đặc biệt và mở rộng</x:v>
      </x:c>
      <x:c r="C253" s="11" t="str">
        <x:v>panel_internal_loops</x:v>
      </x:c>
      <x:c r="D253" s="11" t="str">
        <x:v>Lỗ khoét trong tấm</x:v>
      </x:c>
      <x:c r="E253" s="11" t="str">
        <x:v>Mảng</x:v>
      </x:c>
      <x:c r="F253" s="11" t="str"/>
      <x:c r="G253" s="16"/>
      <x:c r="H253" s="11" t="str">
        <x:v>Vòng kín không tự giao</x:v>
      </x:c>
      <x:c r="I253" s="11" t="str">
        <x:v>Giữ đúng hướng và topology</x:v>
      </x:c>
      <x:c r="J253" s="11" t="str">
        <x:v>Tủ và hệ thống</x:v>
      </x:c>
      <x:c r="K253" s="11" t="str">
        <x:v>P2</x:v>
      </x:c>
      <x:c r="L253" s="11" t="str">
        <x:v>Đề xuất T+; nguồn tham khảo khái niệm</x:v>
      </x:c>
      <x:c r="M253" s="11" t="str">
        <x:v>N09 N17 N25</x:v>
      </x:c>
      <x:c r="N253" s="14" t="str">
        <x:v>Chưa chọn</x:v>
      </x:c>
      <x:c r="O253" s="14"/>
      <x:c r="P253" s="14"/>
    </x:row>
    <x:row r="254" ht="42" customHeight="1">
      <x:c r="A254" s="12" t="str">
        <x:v>ADV-03</x:v>
      </x:c>
      <x:c r="B254" s="10" t="str">
        <x:v>Hình đặc biệt và mở rộng</x:v>
      </x:c>
      <x:c r="C254" s="10" t="str">
        <x:v>slope_angle</x:v>
      </x:c>
      <x:c r="D254" s="10" t="str">
        <x:v>Góc vát tủ dưới mái</x:v>
      </x:c>
      <x:c r="E254" s="10" t="str">
        <x:v>Số</x:v>
      </x:c>
      <x:c r="F254" s="10" t="str">
        <x:v>độ</x:v>
      </x:c>
      <x:c r="G254" s="15"/>
      <x:c r="H254" s="10" t="str">
        <x:v>Theo hiện trạng</x:v>
      </x:c>
      <x:c r="I254" s="10" t="str">
        <x:v>Kiểm đủ ván và liên kết</x:v>
      </x:c>
      <x:c r="J254" s="10" t="str">
        <x:v>Tủ và hệ thống</x:v>
      </x:c>
      <x:c r="K254" s="10" t="str">
        <x:v>P2</x:v>
      </x:c>
      <x:c r="L254" s="10" t="str">
        <x:v>Đề xuất T+; nguồn tham khảo khái niệm</x:v>
      </x:c>
      <x:c r="M254" s="10" t="str">
        <x:v>N09 N17 N25</x:v>
      </x:c>
      <x:c r="N254" s="14" t="str">
        <x:v>Chưa chọn</x:v>
      </x:c>
      <x:c r="O254" s="14"/>
      <x:c r="P254" s="14"/>
    </x:row>
    <x:row r="255" ht="42" customHeight="1">
      <x:c r="A255" s="13" t="str">
        <x:v>ADV-04</x:v>
      </x:c>
      <x:c r="B255" s="11" t="str">
        <x:v>Hình đặc biệt và mở rộng</x:v>
      </x:c>
      <x:c r="C255" s="11" t="str">
        <x:v>corner_layout</x:v>
      </x:c>
      <x:c r="D255" s="11" t="str">
        <x:v>Kiểu tủ góc</x:v>
      </x:c>
      <x:c r="E255" s="11" t="str">
        <x:v>Danh sách</x:v>
      </x:c>
      <x:c r="F255" s="11" t="str"/>
      <x:c r="G255" s="16"/>
      <x:c r="H255" s="11" t="str">
        <x:v>L; Blind; Diagonal</x:v>
      </x:c>
      <x:c r="I255" s="11" t="str">
        <x:v>Bộ công thức riêng không kéo giãn tủ thẳng</x:v>
      </x:c>
      <x:c r="J255" s="11" t="str">
        <x:v>Tủ và hệ thống</x:v>
      </x:c>
      <x:c r="K255" s="11" t="str">
        <x:v>P2</x:v>
      </x:c>
      <x:c r="L255" s="11" t="str">
        <x:v>Đề xuất T+; nguồn tham khảo khái niệm</x:v>
      </x:c>
      <x:c r="M255" s="11" t="str">
        <x:v>N09 N17 N25</x:v>
      </x:c>
      <x:c r="N255" s="14" t="str">
        <x:v>Chưa chọn</x:v>
      </x:c>
      <x:c r="O255" s="14"/>
      <x:c r="P255" s="14"/>
    </x:row>
    <x:row r="256" ht="42" customHeight="1">
      <x:c r="A256" s="12" t="str">
        <x:v>ADV-05</x:v>
      </x:c>
      <x:c r="B256" s="10" t="str">
        <x:v>Hình đặc biệt và mở rộng</x:v>
      </x:c>
      <x:c r="C256" s="10" t="str">
        <x:v>appliance_profile_id</x:v>
      </x:c>
      <x:c r="D256" s="10" t="str">
        <x:v>Hồ sơ thiết bị âm</x:v>
      </x:c>
      <x:c r="E256" s="10" t="str">
        <x:v>Tham chiếu</x:v>
      </x:c>
      <x:c r="F256" s="10" t="str"/>
      <x:c r="G256" s="15"/>
      <x:c r="H256" s="10" t="str">
        <x:v>Theo model thiết bị</x:v>
      </x:c>
      <x:c r="I256" s="10" t="str">
        <x:v>Kích thước lắp và thông gió theo hãng</x:v>
      </x:c>
      <x:c r="J256" s="10" t="str">
        <x:v>Tủ và hệ thống</x:v>
      </x:c>
      <x:c r="K256" s="10" t="str">
        <x:v>P2</x:v>
      </x:c>
      <x:c r="L256" s="10" t="str">
        <x:v>Đề xuất T+; nguồn tham khảo khái niệm</x:v>
      </x:c>
      <x:c r="M256" s="10" t="str">
        <x:v>N09 N17 N25</x:v>
      </x:c>
      <x:c r="N256" s="14" t="str">
        <x:v>Chưa chọn</x:v>
      </x:c>
      <x:c r="O256" s="14"/>
      <x:c r="P256" s="14"/>
    </x:row>
    <x:row r="257" ht="42" customHeight="1">
      <x:c r="A257" s="13" t="str">
        <x:v>ADV-06</x:v>
      </x:c>
      <x:c r="B257" s="11" t="str">
        <x:v>Hình đặc biệt và mở rộng</x:v>
      </x:c>
      <x:c r="C257" s="11" t="str">
        <x:v>manual_edit_policy</x:v>
      </x:c>
      <x:c r="D257" s="11" t="str">
        <x:v>Xử lý sửa hình bằng tay</x:v>
      </x:c>
      <x:c r="E257" s="11" t="str">
        <x:v>Danh sách</x:v>
      </x:c>
      <x:c r="F257" s="11" t="str"/>
      <x:c r="G257" s="16" t="str">
        <x:v>Detect_and_review</x:v>
      </x:c>
      <x:c r="H257" s="11" t="str">
        <x:v>Reject; Detect_and_review; Convert</x:v>
      </x:c>
      <x:c r="I257" s="11" t="str">
        <x:v>Không âm thầm ghi đè chỉnh tay</x:v>
      </x:c>
      <x:c r="J257" s="11" t="str">
        <x:v>Tủ và hệ thống</x:v>
      </x:c>
      <x:c r="K257" s="11" t="str">
        <x:v>P2</x:v>
      </x:c>
      <x:c r="L257" s="11" t="str">
        <x:v>Đề xuất T+; nguồn tham khảo khái niệm</x:v>
      </x:c>
      <x:c r="M257" s="11" t="str">
        <x:v>N09 N17 N25</x:v>
      </x:c>
      <x:c r="N257" s="14" t="str">
        <x:v>Chưa chọn</x:v>
      </x:c>
      <x:c r="O257" s="14"/>
      <x:c r="P257" s="14"/>
    </x:row>
    <x:row r="258" ht="42" customHeight="1">
      <x:c r="A258" s="12" t="str">
        <x:v>ADV-07</x:v>
      </x:c>
      <x:c r="B258" s="10" t="str">
        <x:v>Hình đặc biệt và mở rộng</x:v>
      </x:c>
      <x:c r="C258" s="10" t="str">
        <x:v>lod_mode</x:v>
      </x:c>
      <x:c r="D258" s="10" t="str">
        <x:v>Mức chi tiết hiển thị</x:v>
      </x:c>
      <x:c r="E258" s="10" t="str">
        <x:v>Danh sách</x:v>
      </x:c>
      <x:c r="F258" s="10" t="str"/>
      <x:c r="G258" s="15" t="str">
        <x:v>Light</x:v>
      </x:c>
      <x:c r="H258" s="10" t="str">
        <x:v>Light; Machining; Detailed</x:v>
      </x:c>
      <x:c r="I258" s="10" t="str">
        <x:v>Dữ liệu khoan không phụ thuộc mesh hiển thị</x:v>
      </x:c>
      <x:c r="J258" s="10" t="str">
        <x:v>Tủ và hệ thống</x:v>
      </x:c>
      <x:c r="K258" s="10" t="str">
        <x:v>P2</x:v>
      </x:c>
      <x:c r="L258" s="10" t="str">
        <x:v>Đề xuất T+; nguồn tham khảo khái niệm</x:v>
      </x:c>
      <x:c r="M258" s="10" t="str">
        <x:v>N09 N17 N25</x:v>
      </x:c>
      <x:c r="N258" s="14" t="str">
        <x:v>Chưa chọn</x:v>
      </x:c>
      <x:c r="O258" s="14"/>
      <x:c r="P258" s="14"/>
    </x:row>
    <x:row r="259" ht="42" customHeight="1">
      <x:c r="A259" s="13" t="str">
        <x:v>ADV-08</x:v>
      </x:c>
      <x:c r="B259" s="11" t="str">
        <x:v>Hình đặc biệt và mở rộng</x:v>
      </x:c>
      <x:c r="C259" s="11" t="str">
        <x:v>external_cam_adapter</x:v>
      </x:c>
      <x:c r="D259" s="11" t="str">
        <x:v>Bộ xuất sang CAM</x:v>
      </x:c>
      <x:c r="E259" s="11" t="str">
        <x:v>Tham chiếu</x:v>
      </x:c>
      <x:c r="F259" s="11" t="str"/>
      <x:c r="G259" s="16"/>
      <x:c r="H259" s="11" t="str">
        <x:v>Theo CAM đích</x:v>
      </x:c>
      <x:c r="I259" s="11" t="str">
        <x:v>Hợp đồng layer đơn vị mặt sâu</x:v>
      </x:c>
      <x:c r="J259" s="11" t="str">
        <x:v>Tủ và hệ thống</x:v>
      </x:c>
      <x:c r="K259" s="11" t="str">
        <x:v>P2</x:v>
      </x:c>
      <x:c r="L259" s="11" t="str">
        <x:v>Đề xuất T+; nguồn tham khảo khái niệm</x:v>
      </x:c>
      <x:c r="M259" s="11" t="str">
        <x:v>N09 N17 N25</x:v>
      </x:c>
      <x:c r="N259" s="14" t="str">
        <x:v>Chưa chọn</x:v>
      </x:c>
      <x:c r="O259" s="14"/>
      <x:c r="P259" s="14"/>
    </x:row>
    <x:row r="260" ht="42" customHeight="1">
      <x:c r="A260" s="12" t="str">
        <x:v>ADV-09</x:v>
      </x:c>
      <x:c r="B260" s="10" t="str">
        <x:v>Hình đặc biệt và mở rộng</x:v>
      </x:c>
      <x:c r="C260" s="10" t="str">
        <x:v>hardware_import_adapter</x:v>
      </x:c>
      <x:c r="D260" s="10" t="str">
        <x:v>Bộ nhập dữ liệu phụ kiện</x:v>
      </x:c>
      <x:c r="E260" s="10" t="str">
        <x:v>Tham chiếu</x:v>
      </x:c>
      <x:c r="F260" s="10" t="str"/>
      <x:c r="G260" s="15"/>
      <x:c r="H260" s="10" t="str">
        <x:v>Theo định dạng được cho phép</x:v>
      </x:c>
      <x:c r="I260" s="10" t="str">
        <x:v>BXF cần xác minh giao diện và quyền dùng</x:v>
      </x:c>
      <x:c r="J260" s="10" t="str">
        <x:v>Tủ và hệ thống</x:v>
      </x:c>
      <x:c r="K260" s="10" t="str">
        <x:v>P2</x:v>
      </x:c>
      <x:c r="L260" s="10" t="str">
        <x:v>Đề xuất T+; nguồn tham khảo khái niệm</x:v>
      </x:c>
      <x:c r="M260" s="10" t="str">
        <x:v>N09 N17 N25</x:v>
      </x:c>
      <x:c r="N260" s="14" t="str">
        <x:v>Chưa chọn</x:v>
      </x:c>
      <x:c r="O260" s="14"/>
      <x:c r="P260" s="14"/>
    </x:row>
    <x:row r="261" ht="42" customHeight="1">
      <x:c r="A261" s="13" t="str">
        <x:v>ADV-10</x:v>
      </x:c>
      <x:c r="B261" s="11" t="str">
        <x:v>Hình đặc biệt và mở rộng</x:v>
      </x:c>
      <x:c r="C261" s="11" t="str">
        <x:v>plugin_api_version</x:v>
      </x:c>
      <x:c r="D261" s="11" t="str">
        <x:v>Phiên bản API nội bộ</x:v>
      </x:c>
      <x:c r="E261" s="11" t="str">
        <x:v>Số nguyên</x:v>
      </x:c>
      <x:c r="F261" s="11" t="str"/>
      <x:c r="G261" s="16" t="n">
        <x:v>1</x:v>
      </x:c>
      <x:c r="H261" s="11" t="str">
        <x:v>Từ 1</x:v>
      </x:c>
      <x:c r="I261" s="11" t="str">
        <x:v>Để Quantity và module khác dùng cùng dữ liệu</x:v>
      </x:c>
      <x:c r="J261" s="11" t="str">
        <x:v>Tủ và hệ thống</x:v>
      </x:c>
      <x:c r="K261" s="11" t="str">
        <x:v>P2</x:v>
      </x:c>
      <x:c r="L261" s="11" t="str">
        <x:v>Đề xuất T+; nguồn tham khảo khái niệm</x:v>
      </x:c>
      <x:c r="M261" s="11" t="str">
        <x:v>N09 N17 N25</x:v>
      </x:c>
      <x:c r="N261" s="14" t="str">
        <x:v>Chưa chọn</x:v>
      </x:c>
      <x:c r="O261" s="14"/>
      <x:c r="P261" s="14"/>
    </x:row>
  </x:sheetData>
  <x:dataValidations count="1">
    <x:dataValidation type="list" sqref="N8:N261">
      <x:formula1>"Chưa chọn,Giữ,Để sau,Bỏ"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283e8aa6b04b2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0" hidden="0" customWidth="1"/>
    <x:col min="2" max="2" width="24" hidden="0" customWidth="1"/>
    <x:col min="3" max="3" width="28" hidden="0" customWidth="1"/>
    <x:col min="4" max="4" width="56" hidden="0" customWidth="1"/>
    <x:col min="5" max="5" width="57" hidden="0" customWidth="1"/>
    <x:col min="6" max="6" width="60" hidden="0" customWidth="1"/>
    <x:col min="7" max="7" width="18" hidden="0" customWidth="1"/>
    <x:col min="8" max="8" width="26" hidden="0" customWidth="1"/>
    <x:col min="9" max="9" width="5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9" customHeight="1">
      <x:c r="A2" s="4" t="str">
        <x:v>Ví dụ hồ sơ phụ kiện đã đối chiếu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2" t="str">
        <x:v>Ví dụ để thiết kế schema. Chưa hồ sơ nào ở đây đủ để xuất NC trực tiếp.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 t="str">
        <x:v>Cup depth của sản phẩm không tự động là chiều sâu khoan cuối cùng.</x:v>
      </x:c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</x:row>
    <x:row r="7" ht="38" customHeight="1">
      <x:c r="A7" s="8" t="str">
        <x:v>ID</x:v>
      </x:c>
      <x:c r="B7" s="8" t="str">
        <x:v>Hãng và hệ</x:v>
      </x:c>
      <x:c r="C7" s="8" t="str">
        <x:v>Mã hoặc phạm vi</x:v>
      </x:c>
      <x:c r="D7" s="8" t="str">
        <x:v>Dữ liệu trong tài liệu</x:v>
      </x:c>
      <x:c r="E7" s="8" t="str">
        <x:v>Định nghĩa và điều kiện</x:v>
      </x:c>
      <x:c r="F7" s="8" t="str">
        <x:v>Điểm cần tránh nhầm</x:v>
      </x:c>
      <x:c r="G7" s="8" t="str">
        <x:v>Nguồn</x:v>
      </x:c>
      <x:c r="H7" s="8" t="str">
        <x:v>Mức hoàn thiện</x:v>
      </x:c>
      <x:c r="I7" s="8" t="str">
        <x:v>Dữ liệu còn cần</x:v>
      </x:c>
    </x:row>
    <x:row r="8" ht="65" customHeight="1">
      <x:c r="A8" s="12" t="str">
        <x:v>HW01</x:v>
      </x:c>
      <x:c r="B8" s="10" t="str">
        <x:v>Blum MOVENTO</x:v>
      </x:c>
      <x:c r="C8" s="10" t="str">
        <x:v>760H hoặc 766H theo catalogue</x:v>
      </x:c>
      <x:c r="D8" s="10" t="str">
        <x:v>SKW = LW - 42; SKL = NL - 10</x:v>
      </x:c>
      <x:c r="E8" s="10" t="str">
        <x:v>SKW: lọt lòng hộc; LW: lọt lòng tủ; NL: dài danh nghĩa ray</x:v>
      </x:c>
      <x:c r="F8" s="10" t="str">
        <x:v>LW 600 và hông 16: SKW 558; phủ bì hộc 590</x:v>
      </x:c>
      <x:c r="G8" s="10" t="str">
        <x:v>N20 N21</x:v>
      </x:c>
      <x:c r="H8" s="10" t="str">
        <x:v>Chưa đủ để xuất máy</x:v>
      </x:c>
      <x:c r="I8" s="10" t="str">
        <x:v>Chọn SKU, khóa trước, mẫu lỗ, rear hook và tùy chọn</x:v>
      </x:c>
    </x:row>
    <x:row r="9" ht="65" customHeight="1">
      <x:c r="A9" s="13" t="str">
        <x:v>HW02</x:v>
      </x:c>
      <x:c r="B9" s="11" t="str">
        <x:v>Hettich Sensys 8675</x:v>
      </x:c>
      <x:c r="C9" s="11" t="str">
        <x:v>9091741</x:v>
      </x:c>
      <x:c r="D9" s="11" t="str">
        <x:v>Chén 35; cup depth 12.8; pattern TH 52 x 5.5</x:v>
      </x:c>
      <x:c r="E9" s="11" t="str">
        <x:v>Dải dày cánh 15 đến 24 mm; góc mở 110 độ</x:v>
      </x:c>
      <x:c r="F9" s="11" t="str">
        <x:v>Không lấy 12.8 làm chiều sâu khoan cuối khi thiếu bản vẽ lắp</x:v>
      </x:c>
      <x:c r="G9" s="11" t="str">
        <x:v>N22</x:v>
      </x:c>
      <x:c r="H9" s="11" t="str">
        <x:v>Chưa đủ để xuất máy</x:v>
      </x:c>
      <x:c r="I9" s="11" t="str">
        <x:v>Đế tương ứng, cup distance, bản vẽ khoan và số bản lề</x:v>
      </x:c>
    </x:row>
    <x:row r="10" ht="65" customHeight="1">
      <x:c r="A10" s="12" t="str">
        <x:v>HW03</x:v>
      </x:c>
      <x:c r="B10" s="10" t="str">
        <x:v>Hettich Sensys 8646i</x:v>
      </x:c>
      <x:c r="C10" s="10" t="str">
        <x:v>9094306</x:v>
      </x:c>
      <x:c r="D10" s="10" t="str">
        <x:v>Chén 35; cup depth 7.8; pattern TB 45 x 9.5</x:v>
      </x:c>
      <x:c r="E10" s="10" t="str">
        <x:v>Dải dày cánh 10 đến 19 mm; góc mở 110 độ</x:v>
      </x:c>
      <x:c r="F10" s="10" t="str">
        <x:v>Cùng đường kính chén nhưng không dùng profile HW02</x:v>
      </x:c>
      <x:c r="G10" s="10" t="str">
        <x:v>N23</x:v>
      </x:c>
      <x:c r="H10" s="10" t="str">
        <x:v>Chưa đủ để xuất máy</x:v>
      </x:c>
      <x:c r="I10" s="10" t="str">
        <x:v>Đế, lỗ chốt nở, độ sâu thực và vùng tránh</x:v>
      </x:c>
    </x:row>
    <x:row r="11" ht="65" customHeight="1">
      <x:c r="A11" s="13" t="str">
        <x:v>HW04</x:v>
      </x:c>
      <x:c r="B11" s="11" t="str">
        <x:v>Lamello Cabineo</x:v>
      </x:c>
      <x:c r="C11" s="11" t="str">
        <x:v>Cabineo 12</x:v>
      </x:c>
      <x:c r="D11" s="11" t="str">
        <x:v>Gia công mặt; min surface cut 13; min centre wall 24</x:v>
      </x:c>
      <x:c r="E11" s="11" t="str">
        <x:v>Giới hạn chiều dày phụ thuộc kiểu lắp</x:v>
      </x:c>
      <x:c r="F11" s="11" t="str">
        <x:v>Không dùng 13 mm cho mọi cấu hình Cabineo</x:v>
      </x:c>
      <x:c r="G11" s="11" t="str">
        <x:v>N24</x:v>
      </x:c>
      <x:c r="H11" s="11" t="str">
        <x:v>Chưa đủ để xuất máy</x:v>
      </x:c>
      <x:c r="I11" s="11" t="str">
        <x:v>Bản vẽ vị trí pocket lỗ đối tiếp và giới hạn đúng biến thể</x:v>
      </x:c>
    </x:row>
    <x:row r="12" ht="65" customHeight="1">
      <x:c r="A12" s="12" t="str">
        <x:v>HW05</x:v>
      </x:c>
      <x:c r="B12" s="10" t="str">
        <x:v>Profile ray khác</x:v>
      </x:c>
      <x:c r="C12" s="10" t="str">
        <x:v>Chưa chọn</x:v>
      </x:c>
      <x:c r="D12" s="10" t="str">
        <x:v>Để trống công thức cho đến khi có tài liệu SKU</x:v>
      </x:c>
      <x:c r="E12" s="10" t="str">
        <x:v>Không trừ cố định 13 mm mỗi bên</x:v>
      </x:c>
      <x:c r="F12" s="10" t="str">
        <x:v>Nhập bản vẽ nhà sản xuất rồi test hộc</x:v>
      </x:c>
      <x:c r="G12" s="10" t="str">
        <x:v>Đề xuất T+</x:v>
      </x:c>
      <x:c r="H12" s="10" t="str">
        <x:v>Chưa cấu hình</x:v>
      </x:c>
      <x:c r="I12" s="10" t="str">
        <x:v>Mã ray cụ thể catalogue và hộc mẫu chạy đạt</x:v>
      </x:c>
    </x:row>
  </x:sheetData>
  <x:pageMargins left="0.7" right="0.7" top="0.75" bottom="0.75" header="0.3" footer="0.3"/>
  <x:tableParts count="1">
    <x:tablePart xmlns:r="http://schemas.openxmlformats.org/officeDocument/2006/relationships" r:id="R9905e73cbca242d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9" hidden="0" customWidth="1"/>
    <x:col min="2" max="2" width="28" hidden="0" customWidth="1"/>
    <x:col min="3" max="3" width="58" hidden="0" customWidth="1"/>
    <x:col min="4" max="4" width="70" hidden="0" customWidth="1"/>
    <x:col min="5" max="5" width="13" hidden="0" customWidth="1"/>
    <x:col min="6" max="6" width="22" hidden="0" customWidth="1"/>
    <x:col min="7" max="7" width="20" hidden="0" customWidth="1"/>
    <x:col min="8" max="8" width="4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9" customHeight="1">
      <x:c r="A2" s="4" t="str">
        <x:v>Bộ ca kiểm thử đề xuất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Đây là tiêu chí nghiệm thu tương lai; tất cả để Chưa chạy vì chưa có plugin mới.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 ht="38" customHeight="1">
      <x:c r="A7" s="8" t="str">
        <x:v>ID</x:v>
      </x:c>
      <x:c r="B7" s="8" t="str">
        <x:v>Ca kiểm thử</x:v>
      </x:c>
      <x:c r="C7" s="8" t="str">
        <x:v>Đầu vào và thao tác</x:v>
      </x:c>
      <x:c r="D7" s="8" t="str">
        <x:v>Kết quả phải đạt</x:v>
      </x:c>
      <x:c r="E7" s="8" t="str">
        <x:v>Giai đoạn</x:v>
      </x:c>
      <x:c r="F7" s="8" t="str">
        <x:v>Mức xử lý</x:v>
      </x:c>
      <x:c r="G7" s="8" t="str">
        <x:v>Kết quả thử</x:v>
      </x:c>
      <x:c r="H7" s="8" t="str">
        <x:v>Ghi chú</x:v>
      </x:c>
    </x:row>
    <x:row r="8" ht="44" customHeight="1">
      <x:c r="A8" s="12" t="str">
        <x:v>T01</x:v>
      </x:c>
      <x:c r="B8" s="10" t="str">
        <x:v>Dày thực khác danh nghĩa</x:v>
      </x:c>
      <x:c r="C8" s="10" t="str">
        <x:v>Ván danh nghĩa 18 thực 17.5; tủ rộng 800</x:v>
      </x:c>
      <x:c r="D8" s="10" t="str">
        <x:v>Lọt lòng 765 khi hai hồi 17.5; không dùng 764</x:v>
      </x:c>
      <x:c r="E8" s="10" t="str">
        <x:v>P0</x:v>
      </x:c>
      <x:c r="F8" s="10" t="str">
        <x:v>Chặn xuất</x:v>
      </x:c>
      <x:c r="G8" s="14" t="str">
        <x:v>Chưa chạy</x:v>
      </x:c>
      <x:c r="H8" s="14"/>
    </x:row>
    <x:row r="9" ht="44" customHeight="1">
      <x:c r="A9" s="13" t="str">
        <x:v>T02</x:v>
      </x:c>
      <x:c r="B9" s="11" t="str">
        <x:v>Tấm âm</x:v>
      </x:c>
      <x:c r="C9" s="11" t="str">
        <x:v>Tủ rộng nhỏ hơn tổng dày hồi</x:v>
      </x:c>
      <x:c r="D9" s="11" t="str">
        <x:v>Chặn tạo hoặc áp dụng; không sinh kích thước âm</x:v>
      </x:c>
      <x:c r="E9" s="11" t="str">
        <x:v>P0</x:v>
      </x:c>
      <x:c r="F9" s="11" t="str">
        <x:v>Chặn xuất</x:v>
      </x:c>
      <x:c r="G9" s="14" t="str">
        <x:v>Chưa chạy</x:v>
      </x:c>
      <x:c r="H9" s="14"/>
    </x:row>
    <x:row r="10" ht="44" customHeight="1">
      <x:c r="A10" s="12" t="str">
        <x:v>T03</x:v>
      </x:c>
      <x:c r="B10" s="10" t="str">
        <x:v>Chia khoang</x:v>
      </x:c>
      <x:c r="C10" s="10" t="str">
        <x:v>Rộng 2400 ba module độc lập</x:v>
      </x:c>
      <x:c r="D10" s="10" t="str">
        <x:v>Tổng phủ bì đúng 2400; mỗi module có hai hồi</x:v>
      </x:c>
      <x:c r="E10" s="10" t="str">
        <x:v>P0</x:v>
      </x:c>
      <x:c r="F10" s="10" t="str">
        <x:v>Chặn xuất</x:v>
      </x:c>
      <x:c r="G10" s="14" t="str">
        <x:v>Chưa chạy</x:v>
      </x:c>
      <x:c r="H10" s="14"/>
    </x:row>
    <x:row r="11" ht="44" customHeight="1">
      <x:c r="A11" s="13" t="str">
        <x:v>T04</x:v>
      </x:c>
      <x:c r="B11" s="11" t="str">
        <x:v>Vách chung</x:v>
      </x:c>
      <x:c r="C11" s="11" t="str">
        <x:v>Cùng cấu hình nhưng chuyển Shared</x:v>
      </x:c>
      <x:c r="D11" s="11" t="str">
        <x:v>Chỉ còn vách chung theo cấu tạo; cập nhật bảng tấm</x:v>
      </x:c>
      <x:c r="E11" s="11" t="str">
        <x:v>P0</x:v>
      </x:c>
      <x:c r="F11" s="11" t="str">
        <x:v>Chặn xuất</x:v>
      </x:c>
      <x:c r="G11" s="14" t="str">
        <x:v>Chưa chạy</x:v>
      </x:c>
      <x:c r="H11" s="14"/>
    </x:row>
    <x:row r="12" ht="44" customHeight="1">
      <x:c r="A12" s="12" t="str">
        <x:v>T05</x:v>
      </x:c>
      <x:c r="B12" s="10" t="str">
        <x:v>Hậu âm rãnh</x:v>
      </x:c>
      <x:c r="C12" s="10" t="str">
        <x:v>Đổi hậu phủ thành hậu rãnh</x:v>
      </x:c>
      <x:c r="D12" s="10" t="str">
        <x:v>Hậu và mọi rãnh liên quan cùng cập nhật</x:v>
      </x:c>
      <x:c r="E12" s="10" t="str">
        <x:v>P0</x:v>
      </x:c>
      <x:c r="F12" s="10" t="str">
        <x:v>Chặn xuất</x:v>
      </x:c>
      <x:c r="G12" s="14" t="str">
        <x:v>Chưa chạy</x:v>
      </x:c>
      <x:c r="H12" s="14"/>
    </x:row>
    <x:row r="13" ht="44" customHeight="1">
      <x:c r="A13" s="13" t="str">
        <x:v>T06</x:v>
      </x:c>
      <x:c r="B13" s="11" t="str">
        <x:v>Trừ nẹp</x:v>
      </x:c>
      <x:c r="C13" s="11" t="str">
        <x:v>Tấm hoàn thiện U 600; hai nẹp U dày 1; không premill dư phôi</x:v>
      </x:c>
      <x:c r="D13" s="11" t="str">
        <x:v>Lõi U 598; không bị trừ thành 596</x:v>
      </x:c>
      <x:c r="E13" s="11" t="str">
        <x:v>P0</x:v>
      </x:c>
      <x:c r="F13" s="11" t="str">
        <x:v>Chặn xuất</x:v>
      </x:c>
      <x:c r="G13" s="14" t="str">
        <x:v>Chưa chạy</x:v>
      </x:c>
      <x:c r="H13" s="14"/>
    </x:row>
    <x:row r="14" ht="44" customHeight="1">
      <x:c r="A14" s="12" t="str">
        <x:v>T07</x:v>
      </x:c>
      <x:c r="B14" s="10" t="str">
        <x:v>Phôi và hoàn thiện</x:v>
      </x:c>
      <x:c r="C14" s="10" t="str">
        <x:v>Lõi U 598; tổng dư theo U 2</x:v>
      </x:c>
      <x:c r="D14" s="10" t="str">
        <x:v>Phôi U 600; nhãn chỉ rõ công đoạn kích thước</x:v>
      </x:c>
      <x:c r="E14" s="10" t="str">
        <x:v>P0</x:v>
      </x:c>
      <x:c r="F14" s="10" t="str">
        <x:v>Chặn xuất</x:v>
      </x:c>
      <x:c r="G14" s="14" t="str">
        <x:v>Chưa chạy</x:v>
      </x:c>
      <x:c r="H14" s="14"/>
    </x:row>
    <x:row r="15" ht="44" customHeight="1">
      <x:c r="A15" s="13" t="str">
        <x:v>T08</x:v>
      </x:c>
      <x:c r="B15" s="11" t="str">
        <x:v>Xoay tủ</x:v>
      </x:c>
      <x:c r="C15" s="11" t="str">
        <x:v>Xoay tủ 37 độ trong model</x:v>
      </x:c>
      <x:c r="D15" s="11" t="str">
        <x:v>Kích thước local part không đổi</x:v>
      </x:c>
      <x:c r="E15" s="11" t="str">
        <x:v>P0</x:v>
      </x:c>
      <x:c r="F15" s="11" t="str">
        <x:v>Chặn xuất</x:v>
      </x:c>
      <x:c r="G15" s="14" t="str">
        <x:v>Chưa chạy</x:v>
      </x:c>
      <x:c r="H15" s="14"/>
    </x:row>
    <x:row r="16" ht="44" customHeight="1">
      <x:c r="A16" s="12" t="str">
        <x:v>T09</x:v>
      </x:c>
      <x:c r="B16" s="10" t="str">
        <x:v>Mirror bất đối xứng</x:v>
      </x:c>
      <x:c r="C16" s="10" t="str">
        <x:v>Một lỗ lệch tâm và một cạnh nẹp khác</x:v>
      </x:c>
      <x:c r="D16" s="10" t="str">
        <x:v>Mặt khoan cạnh nẹp và vân đổi đúng; không đoán từ world axes</x:v>
      </x:c>
      <x:c r="E16" s="10" t="str">
        <x:v>P0</x:v>
      </x:c>
      <x:c r="F16" s="10" t="str">
        <x:v>Chặn xuất</x:v>
      </x:c>
      <x:c r="G16" s="14" t="str">
        <x:v>Chưa chạy</x:v>
      </x:c>
      <x:c r="H16" s="14"/>
    </x:row>
    <x:row r="17" ht="44" customHeight="1">
      <x:c r="A17" s="13" t="str">
        <x:v>T10</x:v>
      </x:c>
      <x:c r="B17" s="11" t="str">
        <x:v>Scale không đồng đều</x:v>
      </x:c>
      <x:c r="C17" s="11" t="str">
        <x:v>Scale ngoài bộ tham số</x:v>
      </x:c>
      <x:c r="D17" s="11" t="str">
        <x:v>Chặn hoặc chuyển đổi có thông báo; không xuất âm thầm</x:v>
      </x:c>
      <x:c r="E17" s="11" t="str">
        <x:v>P0</x:v>
      </x:c>
      <x:c r="F17" s="11" t="str">
        <x:v>Chặn xuất</x:v>
      </x:c>
      <x:c r="G17" s="14" t="str">
        <x:v>Chưa chạy</x:v>
      </x:c>
      <x:c r="H17" s="14"/>
    </x:row>
    <x:row r="18" ht="44" customHeight="1">
      <x:c r="A18" s="12" t="str">
        <x:v>T11</x:v>
      </x:c>
      <x:c r="B18" s="10" t="str">
        <x:v>Copy component</x:v>
      </x:c>
      <x:c r="C18" s="10" t="str">
        <x:v>Sao chép hai instance cùng definition</x:v>
      </x:c>
      <x:c r="D18" s="10" t="str">
        <x:v>ID instance khác; sửa một tủ không sửa ngoài ý muốn</x:v>
      </x:c>
      <x:c r="E18" s="10" t="str">
        <x:v>P0</x:v>
      </x:c>
      <x:c r="F18" s="10" t="str">
        <x:v>Chặn xuất</x:v>
      </x:c>
      <x:c r="G18" s="14" t="str">
        <x:v>Chưa chạy</x:v>
      </x:c>
      <x:c r="H18" s="14"/>
    </x:row>
    <x:row r="19" ht="44" customHeight="1">
      <x:c r="A19" s="13" t="str">
        <x:v>T12</x:v>
      </x:c>
      <x:c r="B19" s="11" t="str">
        <x:v>Không có selection</x:v>
      </x:c>
      <x:c r="C19" s="11" t="str">
        <x:v>Bấm cập nhật khi bỏ chọn</x:v>
      </x:c>
      <x:c r="D19" s="11" t="str">
        <x:v>Không tạo tủ mới hoặc đổi tag đối tượng khác</x:v>
      </x:c>
      <x:c r="E19" s="11" t="str">
        <x:v>P0</x:v>
      </x:c>
      <x:c r="F19" s="11" t="str">
        <x:v>Chặn xuất</x:v>
      </x:c>
      <x:c r="G19" s="14" t="str">
        <x:v>Chưa chạy</x:v>
      </x:c>
      <x:c r="H19" s="14"/>
    </x:row>
    <x:row r="20" ht="44" customHeight="1">
      <x:c r="A20" s="12" t="str">
        <x:v>T13</x:v>
      </x:c>
      <x:c r="B20" s="10" t="str">
        <x:v>Undo Redo</x:v>
      </x:c>
      <x:c r="C20" s="10" t="str">
        <x:v>Sửa tham số rồi Undo Redo</x:v>
      </x:c>
      <x:c r="D20" s="10" t="str">
        <x:v>Hình học metadata số lượng và revision nhất quán</x:v>
      </x:c>
      <x:c r="E20" s="10" t="str">
        <x:v>P0</x:v>
      </x:c>
      <x:c r="F20" s="10" t="str">
        <x:v>Chặn xuất</x:v>
      </x:c>
      <x:c r="G20" s="14" t="str">
        <x:v>Chưa chạy</x:v>
      </x:c>
      <x:c r="H20" s="14"/>
    </x:row>
    <x:row r="21" ht="44" customHeight="1">
      <x:c r="A21" s="13" t="str">
        <x:v>T14</x:v>
      </x:c>
      <x:c r="B21" s="11" t="str">
        <x:v>Lưu mở lại</x:v>
      </x:c>
      <x:c r="C21" s="11" t="str">
        <x:v>Lưu 17.5 mm trên máy dấu phẩy rồi mở máy dấu chấm</x:v>
      </x:c>
      <x:c r="D21" s="11" t="str">
        <x:v>Giữ nguyên số và đơn vị</x:v>
      </x:c>
      <x:c r="E21" s="11" t="str">
        <x:v>P0</x:v>
      </x:c>
      <x:c r="F21" s="11" t="str">
        <x:v>Chặn xuất</x:v>
      </x:c>
      <x:c r="G21" s="14" t="str">
        <x:v>Chưa chạy</x:v>
      </x:c>
      <x:c r="H21" s="14"/>
    </x:row>
    <x:row r="22" ht="44" customHeight="1">
      <x:c r="A22" s="12" t="str">
        <x:v>T15</x:v>
      </x:c>
      <x:c r="B22" s="10" t="str">
        <x:v>Vượt khổ ván</x:v>
      </x:c>
      <x:c r="C22" s="10" t="str">
        <x:v>Tấm dài hơn stock trừ xén</x:v>
      </x:c>
      <x:c r="D22" s="10" t="str">
        <x:v>Chặn ra cắt hoặc yêu cầu chia tấm có cấu tạo</x:v>
      </x:c>
      <x:c r="E22" s="10" t="str">
        <x:v>P0</x:v>
      </x:c>
      <x:c r="F22" s="10" t="str">
        <x:v>Chặn xuất</x:v>
      </x:c>
      <x:c r="G22" s="14" t="str">
        <x:v>Chưa chạy</x:v>
      </x:c>
      <x:c r="H22" s="14"/>
    </x:row>
    <x:row r="23" ht="44" customHeight="1">
      <x:c r="A23" s="13" t="str">
        <x:v>T16</x:v>
      </x:c>
      <x:c r="B23" s="11" t="str">
        <x:v>Sâu treo áo</x:v>
      </x:c>
      <x:c r="C23" s="11" t="str">
        <x:v>Phủ bì 600 nhưng có cánh hậu khoảng kỹ thuật</x:v>
      </x:c>
      <x:c r="D23" s="11" t="str">
        <x:v>Sâu hữu dụng tính ra đúng; cảnh báo nếu dưới mục tiêu</x:v>
      </x:c>
      <x:c r="E23" s="11" t="str">
        <x:v>P0</x:v>
      </x:c>
      <x:c r="F23" s="11" t="str">
        <x:v>Chặn xuất</x:v>
      </x:c>
      <x:c r="G23" s="14" t="str">
        <x:v>Chưa chạy</x:v>
      </x:c>
      <x:c r="H23" s="14"/>
    </x:row>
    <x:row r="24" ht="44" customHeight="1">
      <x:c r="A24" s="12" t="str">
        <x:v>T17</x:v>
      </x:c>
      <x:c r="B24" s="10" t="str">
        <x:v>Diềm hộc</x:v>
      </x:c>
      <x:c r="C24" s="10" t="str">
        <x:v>Diềm rộng 50 dày theo vật liệu</x:v>
      </x:c>
      <x:c r="D24" s="10" t="str">
        <x:v>Không tạo tấm dày 50</x:v>
      </x:c>
      <x:c r="E24" s="10" t="str">
        <x:v>P0</x:v>
      </x:c>
      <x:c r="F24" s="10" t="str">
        <x:v>Chặn xuất</x:v>
      </x:c>
      <x:c r="G24" s="14" t="str">
        <x:v>Chưa chạy</x:v>
      </x:c>
      <x:c r="H24" s="14"/>
    </x:row>
    <x:row r="25" ht="44" customHeight="1">
      <x:c r="A25" s="13" t="str">
        <x:v>T18</x:v>
      </x:c>
      <x:c r="B25" s="11" t="str">
        <x:v>Ngăn kéo âm</x:v>
      </x:c>
      <x:c r="C25" s="11" t="str">
        <x:v>Hộc sau cánh mở và bản lề</x:v>
      </x:c>
      <x:c r="D25" s="11" t="str">
        <x:v>Không va khi kéo hết; tính cả diềm spacer và ray</x:v>
      </x:c>
      <x:c r="E25" s="11" t="str">
        <x:v>P1</x:v>
      </x:c>
      <x:c r="F25" s="11" t="str">
        <x:v>Chặn xuất</x:v>
      </x:c>
      <x:c r="G25" s="14" t="str">
        <x:v>Chưa chạy</x:v>
      </x:c>
      <x:c r="H25" s="14"/>
    </x:row>
    <x:row r="26" ht="44" customHeight="1">
      <x:c r="A26" s="12" t="str">
        <x:v>T19</x:v>
      </x:c>
      <x:c r="B26" s="10" t="str">
        <x:v>Thay hệ ray</x:v>
      </x:c>
      <x:c r="C26" s="10" t="str">
        <x:v>Đổi ray hông sang MOVENTO</x:v>
      </x:c>
      <x:c r="D26" s="10" t="str">
        <x:v>Đổi công thức hộc và khoan; không giữ trừ 13 mỗi bên</x:v>
      </x:c>
      <x:c r="E26" s="10" t="str">
        <x:v>P1</x:v>
      </x:c>
      <x:c r="F26" s="10" t="str">
        <x:v>Chặn xuất</x:v>
      </x:c>
      <x:c r="G26" s="14" t="str">
        <x:v>Chưa chạy</x:v>
      </x:c>
      <x:c r="H26" s="14"/>
    </x:row>
    <x:row r="27" ht="44" customHeight="1">
      <x:c r="A27" s="13" t="str">
        <x:v>T20</x:v>
      </x:c>
      <x:c r="B27" s="11" t="str">
        <x:v>MOVENTO lọt lòng</x:v>
      </x:c>
      <x:c r="C27" s="11" t="str">
        <x:v>LW 600; hông hộc 16 cho cấu hình mẫu</x:v>
      </x:c>
      <x:c r="D27" s="11" t="str">
        <x:v>SKW 558; phủ bì hộc 590; xác nhận catalogue SKU</x:v>
      </x:c>
      <x:c r="E27" s="11" t="str">
        <x:v>P1</x:v>
      </x:c>
      <x:c r="F27" s="11" t="str">
        <x:v>Chặn xuất</x:v>
      </x:c>
      <x:c r="G27" s="14" t="str">
        <x:v>Chưa chạy</x:v>
      </x:c>
      <x:c r="H27" s="14"/>
    </x:row>
    <x:row r="28" ht="44" customHeight="1">
      <x:c r="A28" s="12" t="str">
        <x:v>T21</x:v>
      </x:c>
      <x:c r="B28" s="10" t="str">
        <x:v>Đổi bản lề</x:v>
      </x:c>
      <x:c r="C28" s="10" t="str">
        <x:v>9091741 đổi sang 9094306</x:v>
      </x:c>
      <x:c r="D28" s="10" t="str">
        <x:v>Không dùng chung chiều sâu mẫu khoan; yêu cầu profile mới</x:v>
      </x:c>
      <x:c r="E28" s="10" t="str">
        <x:v>P1</x:v>
      </x:c>
      <x:c r="F28" s="10" t="str">
        <x:v>Chặn xuất</x:v>
      </x:c>
      <x:c r="G28" s="14" t="str">
        <x:v>Chưa chạy</x:v>
      </x:c>
      <x:c r="H28" s="14"/>
    </x:row>
    <x:row r="29" ht="44" customHeight="1">
      <x:c r="A29" s="13" t="str">
        <x:v>T22</x:v>
      </x:c>
      <x:c r="B29" s="11" t="str">
        <x:v>Chén và đợt đụng nhau</x:v>
      </x:c>
      <x:c r="C29" s="11" t="str">
        <x:v>Đặt bản lề trùng đợt cố định</x:v>
      </x:c>
      <x:c r="D29" s="11" t="str">
        <x:v>Nêu đúng chỗ giao và yêu cầu xử lý</x:v>
      </x:c>
      <x:c r="E29" s="11" t="str">
        <x:v>P1</x:v>
      </x:c>
      <x:c r="F29" s="11" t="str">
        <x:v>Chặn xuất</x:v>
      </x:c>
      <x:c r="G29" s="14" t="str">
        <x:v>Chưa chạy</x:v>
      </x:c>
      <x:c r="H29" s="14"/>
    </x:row>
    <x:row r="30" ht="44" customHeight="1">
      <x:c r="A30" s="12" t="str">
        <x:v>T23</x:v>
      </x:c>
      <x:c r="B30" s="10" t="str">
        <x:v>Hai mặt lỗ mù</x:v>
      </x:c>
      <x:c r="C30" s="10" t="str">
        <x:v>Đặt hai lỗ đối diện chồng chiều sâu</x:v>
      </x:c>
      <x:c r="D30" s="10" t="str">
        <x:v>Phát hiện phần ván còn lại không đạt</x:v>
      </x:c>
      <x:c r="E30" s="10" t="str">
        <x:v>P1</x:v>
      </x:c>
      <x:c r="F30" s="10" t="str">
        <x:v>Chặn xuất</x:v>
      </x:c>
      <x:c r="G30" s="14" t="str">
        <x:v>Chưa chạy</x:v>
      </x:c>
      <x:c r="H30" s="14"/>
    </x:row>
    <x:row r="31" ht="44" customHeight="1">
      <x:c r="A31" s="13" t="str">
        <x:v>T24</x:v>
      </x:c>
      <x:c r="B31" s="11" t="str">
        <x:v>Lỗ vượt biên</x:v>
      </x:c>
      <x:c r="C31" s="11" t="str">
        <x:v>Tâm lỗ gần mép nhưng bán kính vượt ra</x:v>
      </x:c>
      <x:c r="D31" s="11" t="str">
        <x:v>Kiểm cả biên lỗ không chỉ tâm</x:v>
      </x:c>
      <x:c r="E31" s="11" t="str">
        <x:v>P1</x:v>
      </x:c>
      <x:c r="F31" s="11" t="str">
        <x:v>Chặn xuất</x:v>
      </x:c>
      <x:c r="G31" s="14" t="str">
        <x:v>Chưa chạy</x:v>
      </x:c>
      <x:c r="H31" s="14"/>
    </x:row>
    <x:row r="32" ht="44" customHeight="1">
      <x:c r="A32" s="12" t="str">
        <x:v>T25</x:v>
      </x:c>
      <x:c r="B32" s="10" t="str">
        <x:v>Liên kết đôi</x:v>
      </x:c>
      <x:c r="C32" s="10" t="str">
        <x:v>Thay dày tấm chủ của connector</x:v>
      </x:c>
      <x:c r="D32" s="10" t="str">
        <x:v>Lỗ trên hai tấm vẫn khớp theo hệ lắp</x:v>
      </x:c>
      <x:c r="E32" s="10" t="str">
        <x:v>P1</x:v>
      </x:c>
      <x:c r="F32" s="10" t="str">
        <x:v>Chặn xuất</x:v>
      </x:c>
      <x:c r="G32" s="14" t="str">
        <x:v>Chưa chạy</x:v>
      </x:c>
      <x:c r="H32" s="14"/>
    </x:row>
    <x:row r="33" ht="44" customHeight="1">
      <x:c r="A33" s="13" t="str">
        <x:v>T26</x:v>
      </x:c>
      <x:c r="B33" s="11" t="str">
        <x:v>Nhóm part giống kích thước</x:v>
      </x:c>
      <x:c r="C33" s="11" t="str">
        <x:v>Hai tấm cùng LWT nhưng khoan khác</x:v>
      </x:c>
      <x:c r="D33" s="11" t="str">
        <x:v>Không gộp thành một loại gia công</x:v>
      </x:c>
      <x:c r="E33" s="11" t="str">
        <x:v>P1</x:v>
      </x:c>
      <x:c r="F33" s="11" t="str">
        <x:v>Chặn xuất</x:v>
      </x:c>
      <x:c r="G33" s="14" t="str">
        <x:v>Chưa chạy</x:v>
      </x:c>
      <x:c r="H33" s="14"/>
    </x:row>
    <x:row r="34" ht="44" customHeight="1">
      <x:c r="A34" s="12" t="str">
        <x:v>T27</x:v>
      </x:c>
      <x:c r="B34" s="10" t="str">
        <x:v>Ẩn đối tượng</x:v>
      </x:c>
      <x:c r="C34" s="10" t="str">
        <x:v>Ẩn tag phụ kiện hoặc ký hiệu</x:v>
      </x:c>
      <x:c r="D34" s="10" t="str">
        <x:v>Xuất đúng scope đã chọn; không mất vật tư chỉ do ẩn</x:v>
      </x:c>
      <x:c r="E34" s="10" t="str">
        <x:v>P1</x:v>
      </x:c>
      <x:c r="F34" s="10" t="str">
        <x:v>Chặn xuất</x:v>
      </x:c>
      <x:c r="G34" s="14" t="str">
        <x:v>Chưa chạy</x:v>
      </x:c>
      <x:c r="H34" s="14"/>
    </x:row>
    <x:row r="35" ht="44" customHeight="1">
      <x:c r="A35" s="13" t="str">
        <x:v>T28</x:v>
      </x:c>
      <x:c r="B35" s="11" t="str">
        <x:v>Revision phát hành</x:v>
      </x:c>
      <x:c r="C35" s="11" t="str">
        <x:v>Sửa mặt cánh sau khi có nhãn</x:v>
      </x:c>
      <x:c r="D35" s="11" t="str">
        <x:v>Đợt cũ marked obsolete; không trộn gói</x:v>
      </x:c>
      <x:c r="E35" s="11" t="str">
        <x:v>P1</x:v>
      </x:c>
      <x:c r="F35" s="11" t="str">
        <x:v>Chặn xuất</x:v>
      </x:c>
      <x:c r="G35" s="14" t="str">
        <x:v>Chưa chạy</x:v>
      </x:c>
      <x:c r="H35" s="14"/>
    </x:row>
    <x:row r="36" ht="44" customHeight="1">
      <x:c r="A36" s="12" t="str">
        <x:v>T29</x:v>
      </x:c>
      <x:c r="B36" s="10" t="str">
        <x:v>Guide ký hiệu</x:v>
      </x:c>
      <x:c r="C36" s="10" t="str">
        <x:v>Delete Guides trong nhóm mặt cánh</x:v>
      </x:c>
      <x:c r="D36" s="10" t="str">
        <x:v>Xóa ký hiệu; không thay kích thước hoặc BOM</x:v>
      </x:c>
      <x:c r="E36" s="10" t="str">
        <x:v>P1</x:v>
      </x:c>
      <x:c r="F36" s="10" t="str">
        <x:v>Chặn xuất</x:v>
      </x:c>
      <x:c r="G36" s="14" t="str">
        <x:v>Chưa chạy</x:v>
      </x:c>
      <x:c r="H36" s="14"/>
    </x:row>
    <x:row r="37" ht="44" customHeight="1">
      <x:c r="A37" s="13" t="str">
        <x:v>T30</x:v>
      </x:c>
      <x:c r="B37" s="11" t="str">
        <x:v>DXF import</x:v>
      </x:c>
      <x:c r="C37" s="11" t="str">
        <x:v>DXF tấm chuẩn có lỗ mù rãnh và mặt B</x:v>
      </x:c>
      <x:c r="D37" s="11" t="str">
        <x:v>CAM đích nhận đúng mm layer sâu và mặt</x:v>
      </x:c>
      <x:c r="E37" s="11" t="str">
        <x:v>P1</x:v>
      </x:c>
      <x:c r="F37" s="11" t="str">
        <x:v>Chặn xuất</x:v>
      </x:c>
      <x:c r="G37" s="14" t="str">
        <x:v>Chưa chạy</x:v>
      </x:c>
      <x:c r="H37" s="14"/>
    </x:row>
    <x:row r="38" ht="44" customHeight="1">
      <x:c r="A38" s="12" t="str">
        <x:v>T31</x:v>
      </x:c>
      <x:c r="B38" s="10" t="str">
        <x:v>Cưa và router</x:v>
      </x:c>
      <x:c r="C38" s="10" t="str">
        <x:v>Dùng layout bất quy tắc cho cưa bàn</x:v>
      </x:c>
      <x:c r="D38" s="10" t="str">
        <x:v>Không cho dùng layout không có trình tự cưa hợp lệ</x:v>
      </x:c>
      <x:c r="E38" s="10" t="str">
        <x:v>P2</x:v>
      </x:c>
      <x:c r="F38" s="10" t="str">
        <x:v>Chặn xuất</x:v>
      </x:c>
      <x:c r="G38" s="14" t="str">
        <x:v>Chưa chạy</x:v>
      </x:c>
      <x:c r="H38" s="14"/>
    </x:row>
    <x:row r="39" ht="44" customHeight="1">
      <x:c r="A39" s="13" t="str">
        <x:v>T32</x:v>
      </x:c>
      <x:c r="B39" s="11" t="str">
        <x:v>Hướng vân</x:v>
      </x:c>
      <x:c r="C39" s="11" t="str">
        <x:v>Cánh cùng nhóm liền vân</x:v>
      </x:c>
      <x:c r="D39" s="11" t="str">
        <x:v>Không xoay hoặc đổi thứ tự phá mạch</x:v>
      </x:c>
      <x:c r="E39" s="11" t="str">
        <x:v>P2</x:v>
      </x:c>
      <x:c r="F39" s="11" t="str">
        <x:v>Chặn xuất</x:v>
      </x:c>
      <x:c r="G39" s="14" t="str">
        <x:v>Chưa chạy</x:v>
      </x:c>
      <x:c r="H39" s="14"/>
    </x:row>
    <x:row r="40" ht="44" customHeight="1">
      <x:c r="A40" s="12" t="str">
        <x:v>T33</x:v>
      </x:c>
      <x:c r="B40" s="10" t="str">
        <x:v>Tồn kho thiếu</x:v>
      </x:c>
      <x:c r="C40" s="10" t="str">
        <x:v>Nhu cầu 3 tấm kho chỉ có 2</x:v>
      </x:c>
      <x:c r="D40" s="10" t="str">
        <x:v>Nêu thiếu stock; không báo xếp xong</x:v>
      </x:c>
      <x:c r="E40" s="10" t="str">
        <x:v>P2</x:v>
      </x:c>
      <x:c r="F40" s="10" t="str">
        <x:v>Chặn xuất</x:v>
      </x:c>
      <x:c r="G40" s="14" t="str">
        <x:v>Chưa chạy</x:v>
      </x:c>
      <x:c r="H40" s="14"/>
    </x:row>
    <x:row r="41" ht="44" customHeight="1">
      <x:c r="A41" s="13" t="str">
        <x:v>T34</x:v>
      </x:c>
      <x:c r="B41" s="11" t="str">
        <x:v>Biên dạng lỗ khoét</x:v>
      </x:c>
      <x:c r="C41" s="11" t="str">
        <x:v>Tấm chữ L có hốc trong</x:v>
      </x:c>
      <x:c r="D41" s="11" t="str">
        <x:v>Giữ topology và part trong vùng usable</x:v>
      </x:c>
      <x:c r="E41" s="11" t="str">
        <x:v>P2</x:v>
      </x:c>
      <x:c r="F41" s="11" t="str">
        <x:v>Chặn xuất</x:v>
      </x:c>
      <x:c r="G41" s="14" t="str">
        <x:v>Chưa chạy</x:v>
      </x:c>
      <x:c r="H41" s="14"/>
    </x:row>
    <x:row r="42" ht="44" customHeight="1">
      <x:c r="A42" s="12" t="str">
        <x:v>T35</x:v>
      </x:c>
      <x:c r="B42" s="10" t="str">
        <x:v>Ván dư</x:v>
      </x:c>
      <x:c r="C42" s="10" t="str">
        <x:v>Dùng ván dư khác màu hoặc mặt</x:v>
      </x:c>
      <x:c r="D42" s="10" t="str">
        <x:v>Không ghép chung batch hợp lệ</x:v>
      </x:c>
      <x:c r="E42" s="10" t="str">
        <x:v>P2</x:v>
      </x:c>
      <x:c r="F42" s="10" t="str">
        <x:v>Chặn xuất</x:v>
      </x:c>
      <x:c r="G42" s="14" t="str">
        <x:v>Chưa chạy</x:v>
      </x:c>
      <x:c r="H42" s="14"/>
    </x:row>
    <x:row r="43" ht="44" customHeight="1">
      <x:c r="A43" s="13" t="str">
        <x:v>T36</x:v>
      </x:c>
      <x:c r="B43" s="11" t="str">
        <x:v>Recut</x:v>
      </x:c>
      <x:c r="C43" s="11" t="str">
        <x:v>Một tấm hỏng trong tủ 20 tấm</x:v>
      </x:c>
      <x:c r="D43" s="11" t="str">
        <x:v>Chỉ tạo lệnh làm lại tấm đã chọn</x:v>
      </x:c>
      <x:c r="E43" s="11" t="str">
        <x:v>P2</x:v>
      </x:c>
      <x:c r="F43" s="11" t="str">
        <x:v>Chặn xuất</x:v>
      </x:c>
      <x:c r="G43" s="14" t="str">
        <x:v>Chưa chạy</x:v>
      </x:c>
      <x:c r="H43" s="14"/>
    </x:row>
    <x:row r="44" ht="44" customHeight="1">
      <x:c r="A44" s="12" t="str">
        <x:v>T37</x:v>
      </x:c>
      <x:c r="B44" s="10" t="str">
        <x:v>Gốc Z</x:v>
      </x:c>
      <x:c r="C44" s="10" t="str">
        <x:v>Cùng op đổi từ mặt ván sang bàn</x:v>
      </x:c>
      <x:c r="D44" s="10" t="str">
        <x:v>Độ sâu vật lý tương đương và được mô phỏng</x:v>
      </x:c>
      <x:c r="E44" s="10" t="str">
        <x:v>P3</x:v>
      </x:c>
      <x:c r="F44" s="10" t="str">
        <x:v>Chặn xuất</x:v>
      </x:c>
      <x:c r="G44" s="14" t="str">
        <x:v>Chưa chạy</x:v>
      </x:c>
      <x:c r="H44" s="14"/>
    </x:row>
    <x:row r="45" ht="44" customHeight="1">
      <x:c r="A45" s="13" t="str">
        <x:v>T38</x:v>
      </x:c>
      <x:c r="B45" s="11" t="str">
        <x:v>Mặt B</x:v>
      </x:c>
      <x:c r="C45" s="11" t="str">
        <x:v>Tấm có lỗ lệch ở hai mặt</x:v>
      </x:c>
      <x:c r="D45" s="11" t="str">
        <x:v>Lật đúng trục; đo phôi thử trước sản xuất</x:v>
      </x:c>
      <x:c r="E45" s="11" t="str">
        <x:v>P3</x:v>
      </x:c>
      <x:c r="F45" s="11" t="str">
        <x:v>Chặn xuất</x:v>
      </x:c>
      <x:c r="G45" s="14" t="str">
        <x:v>Chưa chạy</x:v>
      </x:c>
      <x:c r="H45" s="14"/>
    </x:row>
    <x:row r="46" ht="44" customHeight="1">
      <x:c r="A46" s="12" t="str">
        <x:v>T39</x:v>
      </x:c>
      <x:c r="B46" s="10" t="str">
        <x:v>Thiếu dao</x:v>
      </x:c>
      <x:c r="C46" s="10" t="str">
        <x:v>Rãnh nhỏ hơn mọi dao khả dụng</x:v>
      </x:c>
      <x:c r="D46" s="10" t="str">
        <x:v>Chặn hoặc yêu cầu chiến lược khác đã duyệt</x:v>
      </x:c>
      <x:c r="E46" s="10" t="str">
        <x:v>P3</x:v>
      </x:c>
      <x:c r="F46" s="10" t="str">
        <x:v>Chặn xuất</x:v>
      </x:c>
      <x:c r="G46" s="14" t="str">
        <x:v>Chưa chạy</x:v>
      </x:c>
      <x:c r="H46" s="14"/>
    </x:row>
    <x:row r="47" ht="44" customHeight="1">
      <x:c r="A47" s="13" t="str">
        <x:v>T40</x:v>
      </x:c>
      <x:c r="B47" s="11" t="str">
        <x:v>Vùng kẹp</x:v>
      </x:c>
      <x:c r="C47" s="11" t="str">
        <x:v>Đường chạy nhanh đi qua kẹp</x:v>
      </x:c>
      <x:c r="D47" s="11" t="str">
        <x:v>Chặn NC hoặc đổi tuyến sau kiểm tra</x:v>
      </x:c>
      <x:c r="E47" s="11" t="str">
        <x:v>P3</x:v>
      </x:c>
      <x:c r="F47" s="11" t="str">
        <x:v>Chặn xuất</x:v>
      </x:c>
      <x:c r="G47" s="14" t="str">
        <x:v>Chưa chạy</x:v>
      </x:c>
      <x:c r="H47" s="14"/>
    </x:row>
    <x:row r="48" ht="44" customHeight="1">
      <x:c r="A48" s="12" t="str">
        <x:v>T41</x:v>
      </x:c>
      <x:c r="B48" s="10" t="str">
        <x:v>Tấm nhỏ</x:v>
      </x:c>
      <x:c r="C48" s="10" t="str">
        <x:v>Chi tiết nhỏ gần cắt rời</x:v>
      </x:c>
      <x:c r="D48" s="10" t="str">
        <x:v>Có chiến lược giữ phôi được xưởng thử đạt</x:v>
      </x:c>
      <x:c r="E48" s="10" t="str">
        <x:v>P3</x:v>
      </x:c>
      <x:c r="F48" s="10" t="str">
        <x:v>Chặn xuất</x:v>
      </x:c>
      <x:c r="G48" s="14" t="str">
        <x:v>Chưa chạy</x:v>
      </x:c>
      <x:c r="H48" s="14"/>
    </x:row>
    <x:row r="49" ht="44" customHeight="1">
      <x:c r="A49" s="13" t="str">
        <x:v>T42</x:v>
      </x:c>
      <x:c r="B49" s="11" t="str">
        <x:v>Số lượng lớn</x:v>
      </x:c>
      <x:c r="C49" s="11" t="str">
        <x:v>Bộ dữ liệu 100 tủ đại diện</x:v>
      </x:c>
      <x:c r="D49" s="11" t="str">
        <x:v>Đo thời gian RAM trên máy mục tiêu; chốt ngưỡng sau benchmark</x:v>
      </x:c>
      <x:c r="E49" s="11" t="str">
        <x:v>P0</x:v>
      </x:c>
      <x:c r="F49" s="11" t="str">
        <x:v>Cảnh báo hiệu năng</x:v>
      </x:c>
      <x:c r="G49" s="14" t="str">
        <x:v>Chưa chạy</x:v>
      </x:c>
      <x:c r="H49" s="14"/>
    </x:row>
  </x:sheetData>
  <x:dataValidations count="1">
    <x:dataValidation type="list" sqref="G8:G49">
      <x:formula1>"Chưa chạy,Đạt,Không đạt,Không áp dụng"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11f326142b465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9" hidden="0" customWidth="1"/>
    <x:col min="2" max="2" width="29" hidden="0" customWidth="1"/>
    <x:col min="3" max="3" width="74" hidden="0" customWidth="1"/>
    <x:col min="4" max="4" width="58" hidden="0" customWidth="1"/>
    <x:col min="5" max="5" width="13" hidden="0" customWidth="1"/>
    <x:col min="6" max="6" width="20" hidden="0" customWidth="1"/>
    <x:col min="7" max="7" width="60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9" customHeight="1">
      <x:c r="A2" s="4" t="str">
        <x:v>Các quyết định cần chốt với xưởng</x:v>
      </x:c>
      <x:c r="B2" s="2"/>
      <x:c r="C2" s="2"/>
      <x:c r="D2" s="2"/>
      <x:c r="E2" s="2"/>
      <x:c r="F2" s="2"/>
      <x:c r="G2" s="2"/>
    </x:row>
    <x:row r="3" ht="24" customHeight="1">
      <x:c r="A3" s="2" t="str">
        <x:v>Chốt các dòng P0 trước khi khóa đặc tả. Không cần chốt máy để đọc và chọn tính năng.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>
      <x:c r="A6" s="2"/>
      <x:c r="B6" s="2"/>
      <x:c r="C6" s="2"/>
      <x:c r="D6" s="2"/>
      <x:c r="E6" s="2"/>
      <x:c r="F6" s="2"/>
      <x:c r="G6" s="2"/>
    </x:row>
    <x:row r="7" ht="38" customHeight="1">
      <x:c r="A7" s="8" t="str">
        <x:v>ID</x:v>
      </x:c>
      <x:c r="B7" s="8" t="str">
        <x:v>Chủ đề</x:v>
      </x:c>
      <x:c r="C7" s="8" t="str">
        <x:v>Câu hỏi cần chốt</x:v>
      </x:c>
      <x:c r="D7" s="8" t="str">
        <x:v>Đề xuất ban đầu</x:v>
      </x:c>
      <x:c r="E7" s="8" t="str">
        <x:v>Giai đoạn</x:v>
      </x:c>
      <x:c r="F7" s="8" t="str">
        <x:v>Trạng thái</x:v>
      </x:c>
      <x:c r="G7" s="8" t="str">
        <x:v>Dừa trả lời</x:v>
      </x:c>
    </x:row>
    <x:row r="8" ht="44" customHeight="1">
      <x:c r="A8" s="12" t="str">
        <x:v>Q01</x:v>
      </x:c>
      <x:c r="B8" s="10" t="str">
        <x:v>Sản phẩm ưu tiên</x:v>
      </x:c>
      <x:c r="C8" s="10" t="str">
        <x:v>Tủ bếp thẳng, tủ áo, lavabo, tủ TV hay tất cả?</x:v>
      </x:c>
      <x:c r="D8" s="10" t="str">
        <x:v>Chọn 2 nhóm đầu tiên</x:v>
      </x:c>
      <x:c r="E8" s="10" t="str">
        <x:v>P0</x:v>
      </x:c>
      <x:c r="F8" s="14" t="str">
        <x:v>Chưa chốt</x:v>
      </x:c>
      <x:c r="G8" s="14"/>
    </x:row>
    <x:row r="9" ht="44" customHeight="1">
      <x:c r="A9" s="13" t="str">
        <x:v>Q02</x:v>
      </x:c>
      <x:c r="B9" s="11" t="str">
        <x:v>Xưởng thí điểm</x:v>
      </x:c>
      <x:c r="C9" s="11" t="str">
        <x:v>Xưởng nào sẽ duyệt cấu tạo và cắt phôi thử?</x:v>
      </x:c>
      <x:c r="D9" s="11" t="str">
        <x:v>Một xưởng trước</x:v>
      </x:c>
      <x:c r="E9" s="11" t="str">
        <x:v>P0</x:v>
      </x:c>
      <x:c r="F9" s="14" t="str">
        <x:v>Chưa chốt</x:v>
      </x:c>
      <x:c r="G9" s="14"/>
    </x:row>
    <x:row r="10" ht="44" customHeight="1">
      <x:c r="A10" s="12" t="str">
        <x:v>Q03</x:v>
      </x:c>
      <x:c r="B10" s="10" t="str">
        <x:v>Cách sản xuất hiện tại</x:v>
      </x:c>
      <x:c r="C10" s="10" t="str">
        <x:v>Cưa bàn, CNC nesting hay cưa rồi khoan?</x:v>
      </x:c>
      <x:c r="D10" s="10" t="str">
        <x:v>Đi theo tuyến xưởng đang dùng</x:v>
      </x:c>
      <x:c r="E10" s="10" t="str">
        <x:v>P0</x:v>
      </x:c>
      <x:c r="F10" s="14" t="str">
        <x:v>Chưa chốt</x:v>
      </x:c>
      <x:c r="G10" s="14"/>
    </x:row>
    <x:row r="11" ht="44" customHeight="1">
      <x:c r="A11" s="13" t="str">
        <x:v>Q04</x:v>
      </x:c>
      <x:c r="B11" s="11" t="str">
        <x:v>Ván và nẹp</x:v>
      </x:c>
      <x:c r="C11" s="11" t="str">
        <x:v>Mã ván, dày thực, khổ mua, nẹp, premill?</x:v>
      </x:c>
      <x:c r="D11" s="11" t="str">
        <x:v>Nhập catalog xưởng</x:v>
      </x:c>
      <x:c r="E11" s="11" t="str">
        <x:v>P0</x:v>
      </x:c>
      <x:c r="F11" s="14" t="str">
        <x:v>Chưa chốt</x:v>
      </x:c>
      <x:c r="G11" s="14"/>
    </x:row>
    <x:row r="12" ht="44" customHeight="1">
      <x:c r="A12" s="12" t="str">
        <x:v>Q05</x:v>
      </x:c>
      <x:c r="B12" s="10" t="str">
        <x:v>Cấu tạo chuẩn</x:v>
      </x:c>
      <x:c r="C12" s="10" t="str">
        <x:v>Hồi chạy suốt, hậu, xà, module, nối tấm?</x:v>
      </x:c>
      <x:c r="D12" s="10" t="str">
        <x:v>Lấy 3 đến 5 tủ đã sản xuất đúng</x:v>
      </x:c>
      <x:c r="E12" s="10" t="str">
        <x:v>P0</x:v>
      </x:c>
      <x:c r="F12" s="14" t="str">
        <x:v>Chưa chốt</x:v>
      </x:c>
      <x:c r="G12" s="14"/>
    </x:row>
    <x:row r="13" ht="44" customHeight="1">
      <x:c r="A13" s="13" t="str">
        <x:v>Q06</x:v>
      </x:c>
      <x:c r="B13" s="11" t="str">
        <x:v>Ray bản lề</x:v>
      </x:c>
      <x:c r="C13" s="11" t="str">
        <x:v>Hãng, mã và biến thể nào dùng thường xuyên?</x:v>
      </x:c>
      <x:c r="D13" s="11" t="str">
        <x:v>Bắt đầu 1 ray và 1 bộ bản lề</x:v>
      </x:c>
      <x:c r="E13" s="11" t="str">
        <x:v>P1</x:v>
      </x:c>
      <x:c r="F13" s="14" t="str">
        <x:v>Chưa chốt</x:v>
      </x:c>
      <x:c r="G13" s="14"/>
    </x:row>
    <x:row r="14" ht="44" customHeight="1">
      <x:c r="A14" s="12" t="str">
        <x:v>Q07</x:v>
      </x:c>
      <x:c r="B14" s="10" t="str">
        <x:v>Hộc âm T+</x:v>
      </x:c>
      <x:c r="C14" s="10" t="str">
        <x:v>Chốt lại lùi mặt 50, diềm 50, mốc khoảng hông 30?</x:v>
      </x:c>
      <x:c r="D14" s="10" t="str">
        <x:v>Duyệt mặt cắt có kích thước</x:v>
      </x:c>
      <x:c r="E14" s="10" t="str">
        <x:v>P0</x:v>
      </x:c>
      <x:c r="F14" s="14" t="str">
        <x:v>Chưa chốt</x:v>
      </x:c>
      <x:c r="G14" s="14"/>
    </x:row>
    <x:row r="15" ht="44" customHeight="1">
      <x:c r="A15" s="13" t="str">
        <x:v>Q08</x:v>
      </x:c>
      <x:c r="B15" s="11" t="str">
        <x:v>CAM đích</x:v>
      </x:c>
      <x:c r="C15" s="11" t="str">
        <x:v>Xưởng nhập DXF vào phần mềm nào?</x:v>
      </x:c>
      <x:c r="D15" s="11" t="str">
        <x:v>Xin file DXF chạy đạt làm mẫu</x:v>
      </x:c>
      <x:c r="E15" s="11" t="str">
        <x:v>P1</x:v>
      </x:c>
      <x:c r="F15" s="14" t="str">
        <x:v>Chưa chốt</x:v>
      </x:c>
      <x:c r="G15" s="14"/>
    </x:row>
    <x:row r="16" ht="44" customHeight="1">
      <x:c r="A16" s="12" t="str">
        <x:v>Q09</x:v>
      </x:c>
      <x:c r="B16" s="10" t="str">
        <x:v>Máy CNC</x:v>
      </x:c>
      <x:c r="C16" s="10" t="str">
        <x:v>Hãng model controller năm máy bàn hút đầu khoan?</x:v>
      </x:c>
      <x:c r="D16" s="10" t="str">
        <x:v>Chỉ chọn 1 máy đầu tiên</x:v>
      </x:c>
      <x:c r="E16" s="10" t="str">
        <x:v>P3</x:v>
      </x:c>
      <x:c r="F16" s="14" t="str">
        <x:v>Chưa chốt</x:v>
      </x:c>
      <x:c r="G16" s="14"/>
    </x:row>
    <x:row r="17" ht="44" customHeight="1">
      <x:c r="A17" s="13" t="str">
        <x:v>Q10</x:v>
      </x:c>
      <x:c r="B17" s="11" t="str">
        <x:v>File máy và đồ gá</x:v>
      </x:c>
      <x:c r="C17" s="11" t="str">
        <x:v>Có NC chạy đạt, thư viện dao, gốc tọa độ và kiểu lật?</x:v>
      </x:c>
      <x:c r="D17" s="11" t="str">
        <x:v>Nhờ thợ máy cung cấp bộ mẫu</x:v>
      </x:c>
      <x:c r="E17" s="11" t="str">
        <x:v>P3</x:v>
      </x:c>
      <x:c r="F17" s="14" t="str">
        <x:v>Chưa chốt</x:v>
      </x:c>
      <x:c r="G17" s="14"/>
    </x:row>
    <x:row r="18" ht="44" customHeight="1">
      <x:c r="A18" s="12" t="str">
        <x:v>Q11</x:v>
      </x:c>
      <x:c r="B18" s="10" t="str">
        <x:v>Nhãn và hồ sơ</x:v>
      </x:c>
      <x:c r="C18" s="10" t="str">
        <x:v>Máy in, cỡ tem, mã QR, mẫu bản vẽ?</x:v>
      </x:c>
      <x:c r="D18" s="10" t="str">
        <x:v>Một mẫu chung T+</x:v>
      </x:c>
      <x:c r="E18" s="10" t="str">
        <x:v>P1</x:v>
      </x:c>
      <x:c r="F18" s="14" t="str">
        <x:v>Chưa chốt</x:v>
      </x:c>
      <x:c r="G18" s="14"/>
    </x:row>
    <x:row r="19" ht="44" customHeight="1">
      <x:c r="A19" s="13" t="str">
        <x:v>Q12</x:v>
      </x:c>
      <x:c r="B19" s="11" t="str">
        <x:v>Phiên bản SketchUp</x:v>
      </x:c>
      <x:c r="C19" s="11" t="str">
        <x:v>Máy triển khai dùng 2022, 2024 hay bản khác?</x:v>
      </x:c>
      <x:c r="D19" s="11" t="str">
        <x:v>Kiểm thử 2022 và 2024 trước</x:v>
      </x:c>
      <x:c r="E19" s="11" t="str">
        <x:v>P0</x:v>
      </x:c>
      <x:c r="F19" s="14" t="str">
        <x:v>Chưa chốt</x:v>
      </x:c>
      <x:c r="G19" s="14"/>
    </x:row>
    <x:row r="20" ht="44" customHeight="1">
      <x:c r="A20" s="12" t="str">
        <x:v>Q13</x:v>
      </x:c>
      <x:c r="B20" s="10" t="str">
        <x:v>Phạm vi tích hợp</x:v>
      </x:c>
      <x:c r="C20" s="10" t="str">
        <x:v>Giữ plugin phụ kiện bên ngoài hay T+ quản lý nguyên công?</x:v>
      </x:c>
      <x:c r="D20" s="10" t="str">
        <x:v>Có adapter nhưng T+ kiểm soát dữ liệu sản xuất</x:v>
      </x:c>
      <x:c r="E20" s="10" t="str">
        <x:v>P1</x:v>
      </x:c>
      <x:c r="F20" s="14" t="str">
        <x:v>Chưa chốt</x:v>
      </x:c>
      <x:c r="G20" s="14"/>
    </x:row>
    <x:row r="21" ht="44" customHeight="1">
      <x:c r="A21" s="13" t="str">
        <x:v>Q14</x:v>
      </x:c>
      <x:c r="B21" s="11" t="str">
        <x:v>Bộ nghiệm thu</x:v>
      </x:c>
      <x:c r="C21" s="11" t="str">
        <x:v>Tủ mẫu, file xưởng và dung sai chấp nhận?</x:v>
      </x:c>
      <x:c r="D21" s="11" t="str">
        <x:v>Kỹ thuật xưởng duyệt trước viết post</x:v>
      </x:c>
      <x:c r="E21" s="11" t="str">
        <x:v>P0</x:v>
      </x:c>
      <x:c r="F21" s="14" t="str">
        <x:v>Chưa chốt</x:v>
      </x:c>
      <x:c r="G21" s="14"/>
    </x:row>
    <x:row r="22" ht="44" customHeight="1">
      <x:c r="A22" s="12" t="str">
        <x:v>Q15</x:v>
      </x:c>
      <x:c r="B22" s="10" t="str">
        <x:v>Bản plugin T+ hiện hành</x:v>
      </x:c>
      <x:c r="C22" s="10" t="str">
        <x:v>Bản source nào là nền để mở rộng?</x:v>
      </x:c>
      <x:c r="D22" s="10" t="str">
        <x:v>Audit code sau khi chốt phạm vi</x:v>
      </x:c>
      <x:c r="E22" s="10" t="str">
        <x:v>P0</x:v>
      </x:c>
      <x:c r="F22" s="14" t="str">
        <x:v>Chưa chốt</x:v>
      </x:c>
      <x:c r="G22" s="14"/>
    </x:row>
  </x:sheetData>
  <x:dataValidations count="1">
    <x:dataValidation type="list" sqref="F8:F22">
      <x:formula1>"Chưa chốt,Đã chốt,Để sau"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c3c6ed842848b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9" hidden="0" customWidth="1"/>
    <x:col min="2" max="2" width="52" hidden="0" customWidth="1"/>
    <x:col min="3" max="3" width="31" hidden="0" customWidth="1"/>
    <x:col min="4" max="4" width="79" hidden="0" customWidth="1"/>
    <x:col min="5" max="5" width="83" hidden="0" customWidth="1"/>
    <x:col min="6" max="6" width="85" hidden="0" customWidth="1"/>
    <x:col min="7" max="7" width="18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9" customHeight="1">
      <x:c r="A2" s="4" t="str">
        <x:v>Sổ nguồn và giới hạn xác minh</x:v>
      </x:c>
      <x:c r="B2" s="2"/>
      <x:c r="C2" s="2"/>
      <x:c r="D2" s="2"/>
      <x:c r="E2" s="2"/>
      <x:c r="F2" s="2"/>
      <x:c r="G2" s="2"/>
    </x:row>
    <x:row r="3" ht="24" customHeight="1">
      <x:c r="A3" s="2" t="str">
        <x:v>34 mục tài liệu và đầu mối. Có nguồn chưa đọc đầy đủ; xem cột Giới hạn.</x:v>
      </x:c>
      <x:c r="B3" s="2"/>
      <x:c r="C3" s="2"/>
      <x:c r="D3" s="2"/>
      <x:c r="E3" s="2"/>
      <x:c r="F3" s="2"/>
      <x:c r="G3" s="2"/>
    </x:row>
    <x:row r="4">
      <x:c r="A4" s="2" t="str">
        <x:v>Mã Nxx được dẫn ở các bảng. Tài liệu công khai không thay cho cắt thử và đo nghiệm thu.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>
      <x:c r="A6" s="2"/>
      <x:c r="B6" s="2"/>
      <x:c r="C6" s="2"/>
      <x:c r="D6" s="2"/>
      <x:c r="E6" s="2"/>
      <x:c r="F6" s="2"/>
      <x:c r="G6" s="2"/>
    </x:row>
    <x:row r="7" ht="38" customHeight="1">
      <x:c r="A7" s="8" t="str">
        <x:v>ID</x:v>
      </x:c>
      <x:c r="B7" s="8" t="str">
        <x:v>Tài liệu</x:v>
      </x:c>
      <x:c r="C7" s="8" t="str">
        <x:v>Loại nguồn</x:v>
      </x:c>
      <x:c r="D7" s="8" t="str">
        <x:v>Nội dung đã xác định</x:v>
      </x:c>
      <x:c r="E7" s="8" t="str">
        <x:v>Giới hạn</x:v>
      </x:c>
      <x:c r="F7" s="8" t="str">
        <x:v>Địa chỉ tài liệu</x:v>
      </x:c>
      <x:c r="G7" s="8" t="str">
        <x:v>Ngày tra cứu</x:v>
      </x:c>
    </x:row>
    <x:row r="8" ht="65" customHeight="1">
      <x:c r="A8" s="12" t="str">
        <x:v>N01</x:v>
      </x:c>
      <x:c r="B8" s="10" t="str">
        <x:v>ArchiWood giới thiệu hệ thống</x:v>
      </x:c>
      <x:c r="C8" s="10" t="str">
        <x:v>Trang tự giới thiệu sản phẩm</x:v>
      </x:c>
      <x:c r="D8" s="10" t="str">
        <x:v>Tham số tủ, vật liệu, phụ kiện, nhãn, kiểm lỗi và nesting được giới thiệu cùng một quy trình.</x:v>
      </x:c>
      <x:c r="E8" s="10" t="str">
        <x:v>Chưa xác nhận quan hệ pháp nhân với archiwood.cn; xem là tuyên bố sản phẩm, không phải nghiệm thu</x:v>
      </x:c>
      <x:c r="F8" s="17" t="str">
        <x:v>https://archiwood.github.io/</x:v>
      </x:c>
      <x:c r="G8" s="19" t="n">
        <x:v>46289</x:v>
      </x:c>
    </x:row>
    <x:row r="9" ht="65" customHeight="1">
      <x:c r="A9" s="13" t="str">
        <x:v>N02</x:v>
      </x:c>
      <x:c r="B9" s="11" t="str">
        <x:v>ArchiWood website được kho hướng dẫn dẫn là chính thức</x:v>
      </x:c>
      <x:c r="C9" s="11" t="str">
        <x:v>Đầu mối cần bổ sung</x:v>
      </x:c>
      <x:c r="D9" s="11" t="str">
        <x:v>Địa chỉ để đối chiếu tài liệu và phiên bản của hãng.</x:v>
      </x:c>
      <x:c r="E9" s="11" t="str">
        <x:v>Không tải được nội dung đầy đủ trong lượt nghiên cứu; không dùng làm chứng cứ tính năng chi tiết</x:v>
      </x:c>
      <x:c r="F9" s="18" t="str">
        <x:v>https://archiwood.cn/wiki/archiwoodarchinest</x:v>
      </x:c>
      <x:c r="G9" s="20" t="n">
        <x:v>46289</x:v>
      </x:c>
    </x:row>
    <x:row r="10" ht="65" customHeight="1">
      <x:c r="A10" s="12" t="str">
        <x:v>N03</x:v>
      </x:c>
      <x:c r="B10" s="10" t="str">
        <x:v>ArchiWood danh mục hướng dẫn tiếng Anh</x:v>
      </x:c>
      <x:c r="C10" s="10" t="str">
        <x:v>Chỉ mục đào tạo</x:v>
      </x:c>
      <x:c r="D10" s="10" t="str">
        <x:v>Có mục cấu hình vật liệu, liên kết phụ kiện, kiểm tra, bảng kết quả, bản vẽ và nesting.</x:v>
      </x:c>
      <x:c r="E10" s="10" t="str">
        <x:v>Chỉ mục không chứng minh thuật toán hoặc độ chính xác; không coi video nhúng là đã xem</x:v>
      </x:c>
      <x:c r="F10" s="17" t="str">
        <x:v>https://sketchuppro.cn/englishtutorial</x:v>
      </x:c>
      <x:c r="G10" s="19" t="n">
        <x:v>46289</x:v>
      </x:c>
    </x:row>
    <x:row r="11" ht="65" customHeight="1">
      <x:c r="A11" s="13" t="str">
        <x:v>N04</x:v>
      </x:c>
      <x:c r="B11" s="11" t="str">
        <x:v>ArchiWood bài hướng dẫn nesting</x:v>
      </x:c>
      <x:c r="C11" s="11" t="str">
        <x:v>Trang bài học</x:v>
      </x:c>
      <x:c r="D11" s="11" t="str">
        <x:v>Xác định đầu mối bài học ArchiWood Nesting kit.</x:v>
      </x:c>
      <x:c r="E11" s="11" t="str">
        <x:v>Nội dung video đầy đủ chưa tiếp cận; chỉ xác nhận chủ đề bài học</x:v>
      </x:c>
      <x:c r="F11" s="18" t="str">
        <x:v>https://sketchuppro.cn/5650</x:v>
      </x:c>
      <x:c r="G11" s="20" t="n">
        <x:v>46289</x:v>
      </x:c>
    </x:row>
    <x:row r="12" ht="65" customHeight="1">
      <x:c r="A12" s="12" t="str">
        <x:v>N05</x:v>
      </x:c>
      <x:c r="B12" s="10" t="str">
        <x:v>CabinetSense tổng quan</x:v>
      </x:c>
      <x:c r="C12" s="10" t="str">
        <x:v>Nhà phát triển</x:v>
      </x:c>
      <x:c r="D12" s="10" t="str">
        <x:v>SketchUp, hệ 32 mm, phụ kiện, BOM, bản vẽ và DXF đưa sang CAM.</x:v>
      </x:c>
      <x:c r="E12" s="10" t="str">
        <x:v>Chưa chạy thử phần mềm hoặc máy thực tế</x:v>
      </x:c>
      <x:c r="F12" s="17" t="str">
        <x:v>https://www.cabinetsensesoftware.com/</x:v>
      </x:c>
      <x:c r="G12" s="19" t="n">
        <x:v>46289</x:v>
      </x:c>
    </x:row>
    <x:row r="13" ht="65" customHeight="1">
      <x:c r="A13" s="13" t="str">
        <x:v>N06</x:v>
      </x:c>
      <x:c r="B13" s="11" t="str">
        <x:v>CabinetSense CNC Preferences</x:v>
      </x:c>
      <x:c r="C13" s="11" t="str">
        <x:v>Tài liệu nhà phát triển</x:v>
      </x:c>
      <x:c r="D13" s="11" t="str">
        <x:v>Phân biệt Z zero, DXF 2D/3D, mặt gia công, lật phôi, dư phôi và khoan xuyên.</x:v>
      </x:c>
      <x:c r="E13" s="11" t="str">
        <x:v>Một số hướng dẫn cũ; chỉ dùng khái niệm, cần xác nhận theo bản cài và CAM đích</x:v>
      </x:c>
      <x:c r="F13" s="18" t="str">
        <x:v>https://sites.google.com/a/cabinetsensesoftware.com/cabinetsense-wiki/ma/cnc-menu/cnc-preferences</x:v>
      </x:c>
      <x:c r="G13" s="20" t="n">
        <x:v>46289</x:v>
      </x:c>
    </x:row>
    <x:row r="14" ht="65" customHeight="1">
      <x:c r="A14" s="12" t="str">
        <x:v>N07</x:v>
      </x:c>
      <x:c r="B14" s="10" t="str">
        <x:v>CabinetSense Door</x:v>
      </x:c>
      <x:c r="C14" s="10" t="str">
        <x:v>Tài liệu nhà phát triển</x:v>
      </x:c>
      <x:c r="D14" s="10" t="str">
        <x:v>Cánh theo ràng buộc, hướng mở, inset, bản lề, kiểu cánh và override vị trí.</x:v>
      </x:c>
      <x:c r="E14" s="10" t="str">
        <x:v>Chưa chạy thử phần mềm hoặc máy thực tế</x:v>
      </x:c>
      <x:c r="F14" s="17" t="str">
        <x:v>https://sites.google.com/a/cabinetsensesoftware.com/cabinetsense-wiki/component-glossary/door</x:v>
      </x:c>
      <x:c r="G14" s="19" t="n">
        <x:v>46289</x:v>
      </x:c>
    </x:row>
    <x:row r="15" ht="65" customHeight="1">
      <x:c r="A15" s="13" t="str">
        <x:v>N08</x:v>
      </x:c>
      <x:c r="B15" s="11" t="str">
        <x:v>CabinetSense Preferences</x:v>
      </x:c>
      <x:c r="C15" s="11" t="str">
        <x:v>Tài liệu nhà phát triển</x:v>
      </x:c>
      <x:c r="D15" s="11" t="str">
        <x:v>Thiết lập chung và kiểm tra thành phần tủ.</x:v>
      </x:c>
      <x:c r="E15" s="11" t="str">
        <x:v>Chưa chạy thử phần mềm hoặc máy thực tế</x:v>
      </x:c>
      <x:c r="F15" s="18" t="str">
        <x:v>https://sites.google.com/a/cabinetsensesoftware.com/cabinetsense-wiki/ma/cabinetsense-menu/preferences</x:v>
      </x:c>
      <x:c r="G15" s="20" t="n">
        <x:v>46289</x:v>
      </x:c>
    </x:row>
    <x:row r="16" ht="65" customHeight="1">
      <x:c r="A16" s="12" t="str">
        <x:v>N09</x:v>
      </x:c>
      <x:c r="B16" s="10" t="str">
        <x:v>PolyBoard của Boole and Partners</x:v>
      </x:c>
      <x:c r="C16" s="10" t="str">
        <x:v>Nhà phát triển</x:v>
      </x:c>
      <x:c r="D16" s="10" t="str">
        <x:v>Cấu trúc cây, phương pháp sản xuất, quan hệ tấm, bản đồ khoan rãnh và hậu xử lý.</x:v>
      </x:c>
      <x:c r="E16" s="10" t="str">
        <x:v>Chưa chạy thử phần mềm hoặc máy thực tế</x:v>
      </x:c>
      <x:c r="F16" s="17" t="str">
        <x:v>https://www.boole.eu/polyboard.php</x:v>
      </x:c>
      <x:c r="G16" s="19" t="n">
        <x:v>46289</x:v>
      </x:c>
    </x:row>
    <x:row r="17" ht="65" customHeight="1">
      <x:c r="A17" s="13" t="str">
        <x:v>N10</x:v>
      </x:c>
      <x:c r="B17" s="11" t="str">
        <x:v>PolyBoard Manufacturing Methods</x:v>
      </x:c>
      <x:c r="C17" s="11" t="str">
        <x:v>Hướng dẫn do đơn vị triển khai viết</x:v>
      </x:c>
      <x:c r="D17" s="11" t="str">
        <x:v>Phương pháp sản xuất gồm các phương pháp con cho cấu tạo, phụ kiện và cạnh.</x:v>
      </x:c>
      <x:c r="E17" s="11" t="str">
        <x:v>Nguồn hướng dẫn triển khai, không phải kiểm thử độc lập</x:v>
      </x:c>
      <x:c r="F17" s="18" t="str">
        <x:v>https://wooddesigner.org/help-centre/polyboard-manufacturing-methods/</x:v>
      </x:c>
      <x:c r="G17" s="20" t="n">
        <x:v>46289</x:v>
      </x:c>
    </x:row>
    <x:row r="18" ht="65" customHeight="1">
      <x:c r="A18" s="12" t="str">
        <x:v>N11</x:v>
      </x:c>
      <x:c r="B18" s="10" t="str">
        <x:v>OpenCutList Materials</x:v>
      </x:c>
      <x:c r="C18" s="10" t="str">
        <x:v>Tài liệu dự án</x:v>
      </x:c>
      <x:c r="D18" s="10" t="str">
        <x:v>Độ dày thực, khổ ván, hướng vân, dư phôi và trừ chiều dày nẹp cạnh.</x:v>
      </x:c>
      <x:c r="E18" s="10" t="str">
        <x:v>Chưa chạy thử phần mềm hoặc máy thực tế</x:v>
      </x:c>
      <x:c r="F18" s="17" t="str">
        <x:v>https://docs.opencutlist.org/features/applying-materials</x:v>
      </x:c>
      <x:c r="G18" s="19" t="n">
        <x:v>46289</x:v>
      </x:c>
    </x:row>
    <x:row r="19" ht="65" customHeight="1">
      <x:c r="A19" s="13" t="str">
        <x:v>N12</x:v>
      </x:c>
      <x:c r="B19" s="11" t="str">
        <x:v>OpenCutList Components</x:v>
      </x:c>
      <x:c r="C19" s="11" t="str">
        <x:v>Tài liệu dự án</x:v>
      </x:c>
      <x:c r="D19" s="11" t="str">
        <x:v>Vai trò trục local và component; bounding box không mô tả đủ biên dạng.</x:v>
      </x:c>
      <x:c r="E19" s="11" t="str">
        <x:v>Tài liệu không hỗ trợ group làm part; adapter T+ cần xử lý riêng</x:v>
      </x:c>
      <x:c r="F19" s="18" t="str">
        <x:v>https://docs.opencutlist.org/getting-started/components</x:v>
      </x:c>
      <x:c r="G19" s="20" t="n">
        <x:v>46289</x:v>
      </x:c>
    </x:row>
    <x:row r="20" ht="65" customHeight="1">
      <x:c r="A20" s="12" t="str">
        <x:v>N13</x:v>
      </x:c>
      <x:c r="B20" s="10" t="str">
        <x:v>OpenCutList Sheet Goods</x:v>
      </x:c>
      <x:c r="C20" s="10" t="str">
        <x:v>Tài liệu dự án</x:v>
      </x:c>
      <x:c r="D20" s="10" t="str">
        <x:v>Xoay theo vân, ván dư, kerf, xén biên và mức tối ưu.</x:v>
      </x:c>
      <x:c r="E20" s="10" t="str">
        <x:v>Trang đọc giới hạn một khổ ván tiêu chuẩn trong một lần giải; không suy rộng sang mọi phiên bản</x:v>
      </x:c>
      <x:c r="F20" s="17" t="str">
        <x:v>https://docs.opencutlist.org/features/parts/parts-list/cutting-diagrams/sheet-goods</x:v>
      </x:c>
      <x:c r="G20" s="19" t="n">
        <x:v>46289</x:v>
      </x:c>
    </x:row>
    <x:row r="21" ht="65" customHeight="1">
      <x:c r="A21" s="13" t="str">
        <x:v>N14</x:v>
      </x:c>
      <x:c r="B21" s="11" t="str">
        <x:v>Mozaik CNC</x:v>
      </x:c>
      <x:c r="C21" s="11" t="str">
        <x:v>Nhà phát triển</x:v>
      </x:c>
      <x:c r="D21" s="11" t="str">
        <x:v>True-shape nesting, post theo máy, gia công mặt sau, xử lý tấm nhỏ, nhãn và recut.</x:v>
      </x:c>
      <x:c r="E21" s="11" t="str">
        <x:v>Chưa chạy thử phần mềm hoặc máy thực tế</x:v>
      </x:c>
      <x:c r="F21" s="18" t="str">
        <x:v>https://www.mozaiksoftware.com/mozaik-products/mozaik-cnc</x:v>
      </x:c>
      <x:c r="G21" s="20" t="n">
        <x:v>46289</x:v>
      </x:c>
    </x:row>
    <x:row r="22" ht="65" customHeight="1">
      <x:c r="A22" s="12" t="str">
        <x:v>N15</x:v>
      </x:c>
      <x:c r="B22" s="10" t="str">
        <x:v>Cabinet Vision tổng quan</x:v>
      </x:c>
      <x:c r="C22" s="10" t="str">
        <x:v>Nhà phát triển</x:v>
      </x:c>
      <x:c r="D22" s="10" t="str">
        <x:v>Nền tảng theo module nối thiết kế, giá thành và CNC.</x:v>
      </x:c>
      <x:c r="E22" s="10" t="str">
        <x:v>Trang tổng quan ngắn; chưa xác minh từng chức năng nâng cao</x:v>
      </x:c>
      <x:c r="F22" s="17" t="str">
        <x:v>https://hexagon.com/products/cabinet-vision</x:v>
      </x:c>
      <x:c r="G22" s="19" t="n">
        <x:v>46289</x:v>
      </x:c>
    </x:row>
    <x:row r="23" ht="65" customHeight="1">
      <x:c r="A23" s="13" t="str">
        <x:v>N16</x:v>
      </x:c>
      <x:c r="B23" s="11" t="str">
        <x:v>Microvellum quy trình thiết kế sản xuất</x:v>
      </x:c>
      <x:c r="C23" s="11" t="str">
        <x:v>Nhà phát triển</x:v>
      </x:c>
      <x:c r="D23" s="11" t="str">
        <x:v>Thư viện dùng công thức, cut list, nhãn truy vết, CNC và kết nối cơ sở dữ liệu.</x:v>
      </x:c>
      <x:c r="E23" s="11" t="str">
        <x:v>Chưa chạy thử phần mềm hoặc máy thực tế</x:v>
      </x:c>
      <x:c r="F23" s="18" t="str">
        <x:v>https://www.microvellum.com/solutions/processes</x:v>
      </x:c>
      <x:c r="G23" s="20" t="n">
        <x:v>46289</x:v>
      </x:c>
    </x:row>
    <x:row r="24" ht="65" customHeight="1">
      <x:c r="A24" s="12" t="str">
        <x:v>N17</x:v>
      </x:c>
      <x:c r="B24" s="10" t="str">
        <x:v>SWOOD CAM</x:v>
      </x:c>
      <x:c r="C24" s="10" t="str">
        <x:v>Nhà phát triển</x:v>
      </x:c>
      <x:c r="D24" s="10" t="str">
        <x:v>Nhận dạng nguyên công, thư viện chiến lược, mô phỏng va chạm và hỗ trợ máy đa trục.</x:v>
      </x:c>
      <x:c r="E24" s="10" t="str">
        <x:v>Bài 2021; dùng kiến trúc chức năng, không coi là danh sách phiên bản 2026</x:v>
      </x:c>
      <x:c r="F24" s="17" t="str">
        <x:v>https://swood.eficad.com/blog/discover-swood-cam/</x:v>
      </x:c>
      <x:c r="G24" s="19" t="n">
        <x:v>46289</x:v>
      </x:c>
    </x:row>
    <x:row r="25" ht="65" customHeight="1">
      <x:c r="A25" s="13" t="str">
        <x:v>N18</x:v>
      </x:c>
      <x:c r="B25" s="11" t="str">
        <x:v>HOMAG woodWOP</x:v>
      </x:c>
      <x:c r="C25" s="11" t="str">
        <x:v>Hãng máy</x:v>
      </x:c>
      <x:c r="D25" s="11" t="str">
        <x:v>Quản lý nguyên công và dao; woodMotion là tùy chọn mô phỏng bóc vật liệu, va chạm, thời gian.</x:v>
      </x:c>
      <x:c r="E25" s="11" t="str">
        <x:v>Chưa chạy thử phần mềm hoặc máy thực tế</x:v>
      </x:c>
      <x:c r="F25" s="18" t="str">
        <x:v>https://www.homag.com/en/software-detail/software/work-preparation/cnc-programming-software-woodwop</x:v>
      </x:c>
      <x:c r="G25" s="20" t="n">
        <x:v>46289</x:v>
      </x:c>
    </x:row>
    <x:row r="26" ht="65" customHeight="1">
      <x:c r="A26" s="12" t="str">
        <x:v>N19</x:v>
      </x:c>
      <x:c r="B26" s="10" t="str">
        <x:v>Biesse B_SOLID</x:v>
      </x:c>
      <x:c r="C26" s="10" t="str">
        <x:v>Hãng máy</x:v>
      </x:c>
      <x:c r="D26" s="10" t="str">
        <x:v>CAD CAM và mô phỏng nguyên công có tính thời gian.</x:v>
      </x:c>
      <x:c r="E26" s="10" t="str">
        <x:v>Chưa có thông số post và cấu hình máy của xưởng</x:v>
      </x:c>
      <x:c r="F26" s="17" t="str">
        <x:v>https://biesse.com/ww/en/software/b_solid/</x:v>
      </x:c>
      <x:c r="G26" s="19" t="n">
        <x:v>46289</x:v>
      </x:c>
    </x:row>
    <x:row r="27" ht="65" customHeight="1">
      <x:c r="A27" s="13" t="str">
        <x:v>N20</x:v>
      </x:c>
      <x:c r="B27" s="11" t="str">
        <x:v>Blum hướng dẫn đóng hộc MOVENTO</x:v>
      </x:c>
      <x:c r="C27" s="11" t="str">
        <x:v>Hãng phụ kiện</x:v>
      </x:c>
      <x:c r="D27" s="11" t="str">
        <x:v>Ví dụ SKW bằng LW trừ 42 mm; chiều dài hông bằng NL trừ 10 mm.</x:v>
      </x:c>
      <x:c r="E27" s="11" t="str">
        <x:v>SKW là rộng LỌT LÒNG hộc; không áp dụng đại trà cho mọi ray</x:v>
      </x:c>
      <x:c r="F27" s="18" t="str">
        <x:v>https://ea.blum.com/en/building-a-movento-drawer/</x:v>
      </x:c>
      <x:c r="G27" s="20" t="n">
        <x:v>46289</x:v>
      </x:c>
    </x:row>
    <x:row r="28" ht="65" customHeight="1">
      <x:c r="A28" s="12" t="str">
        <x:v>N21</x:v>
      </x:c>
      <x:c r="B28" s="10" t="str">
        <x:v>Blum catalogue MOVENTO 2024 2025</x:v>
      </x:c>
      <x:c r="C28" s="10" t="str">
        <x:v>Catalogue hãng</x:v>
      </x:c>
      <x:c r="D28" s="10" t="str">
        <x:v>Bản 760H và 766H: công thức hộc, dung sai và chú thích theo tùy chọn.</x:v>
      </x:c>
      <x:c r="E28" s="10" t="str">
        <x:v>Tra đúng mã và catalogue đi kèm hàng thực tế trước khi làm hồ sơ sản xuất</x:v>
      </x:c>
      <x:c r="F28" s="17" t="str">
        <x:v>https://publications.blum.com/2024/catalogue/vi/413/</x:v>
      </x:c>
      <x:c r="G28" s="19" t="n">
        <x:v>46289</x:v>
      </x:c>
    </x:row>
    <x:row r="29" ht="72" customHeight="1">
      <x:c r="A29" s="13" t="str">
        <x:v>N22</x:v>
      </x:c>
      <x:c r="B29" s="11" t="str">
        <x:v>Hettich Sensys 8675 mã 9091741</x:v>
      </x:c>
      <x:c r="C29" s="11" t="str">
        <x:v>Hãng phụ kiện</x:v>
      </x:c>
      <x:c r="D29" s="11" t="str">
        <x:v>Chén 35 mm, cup depth 12.8 mm, TH 52 x 5.5 mm, cánh 15 đến 24 mm.</x:v>
      </x:c>
      <x:c r="E29" s="11" t="str">
        <x:v>Cup depth không thay thế toàn bộ bản vẽ khoan và dung sai lắp</x:v>
      </x:c>
      <x:c r="F29" s="18" t="str">
        <x:v>https://shop.hettich.com/si_EN/Hinges/Sensys-hinge-series/Hinges/Sensys-110%C2%B0-hinge-without-self-closing-feature-%28Sensys-8675%29%2C-in-obsidian-black%2C-overlay%2C-Opening-angle-110%C2%B0%2C-TH-drilling-pattern-52-x-5-5-mm%2C-for-screwing-on-%28-%29/p/9091741</x:v>
      </x:c>
      <x:c r="G29" s="20" t="n">
        <x:v>46289</x:v>
      </x:c>
    </x:row>
    <x:row r="30" ht="87" customHeight="1">
      <x:c r="A30" s="12" t="str">
        <x:v>N23</x:v>
      </x:c>
      <x:c r="B30" s="10" t="str">
        <x:v>Hettich Sensys 8646i mã 9094306</x:v>
      </x:c>
      <x:c r="C30" s="10" t="str">
        <x:v>Hãng phụ kiện</x:v>
      </x:c>
      <x:c r="D30" s="10" t="str">
        <x:v>Chén 35 mm, cup depth 7.8 mm, TB 45 x 9.5 mm, cánh 10 đến 19 mm.</x:v>
      </x:c>
      <x:c r="E30" s="10" t="str">
        <x:v>Không dùng profile khoan của mã 9091741 cho mã này</x:v>
      </x:c>
      <x:c r="F30" s="17" t="str">
        <x:v>https://shop.hettich.com/si_EN/Hinges/Sensys-hinge-series/Hinges/Sensys-thin-door-hinge%2C-door-thickness-from-10-mm%2C-with-integrated-silent-system-%28Sensys-8646i%29%2C-nickel-plated%2C-overlay%2C-Opening-angle-110%C2%B0%2C-TB-drilling-pattern-45-x-9-5-mm%2C-with-expanding-sockets-%288-%C3%B8-x-8%29/p/9094306</x:v>
      </x:c>
      <x:c r="G30" s="19" t="n">
        <x:v>46289</x:v>
      </x:c>
    </x:row>
    <x:row r="31" ht="65" customHeight="1">
      <x:c r="A31" s="13" t="str">
        <x:v>N24</x:v>
      </x:c>
      <x:c r="B31" s="11" t="str">
        <x:v>Lamello Cabineo 12</x:v>
      </x:c>
      <x:c r="C31" s="11" t="str">
        <x:v>Hãng phụ kiện</x:v>
      </x:c>
      <x:c r="D31" s="11" t="str">
        <x:v>Liên kết gia công mặt; giới hạn chiều dày khác nhau theo kiểu lắp.</x:v>
      </x:c>
      <x:c r="E31" s="11" t="str">
        <x:v>13 mm cho surface cuts và 24 mm cho centre wall machining theo trang; không suy thành một giới hạn chung</x:v>
      </x:c>
      <x:c r="F31" s="18" t="str">
        <x:v>https://lamello.com/products/drilling-system/cabineo-12</x:v>
      </x:c>
      <x:c r="G31" s="20" t="n">
        <x:v>46289</x:v>
      </x:c>
    </x:row>
    <x:row r="32" ht="65" customHeight="1">
      <x:c r="A32" s="12" t="str">
        <x:v>N25</x:v>
      </x:c>
      <x:c r="B32" s="10" t="str">
        <x:v>Blum Cabinet Configurator tiếng Việt</x:v>
      </x:c>
      <x:c r="C32" s="10" t="str">
        <x:v>Hãng phụ kiện</x:v>
      </x:c>
      <x:c r="D32" s="10" t="str">
        <x:v>Đầu ra CAD và BXF chứa thông tin phụ kiện và dữ liệu sản xuất.</x:v>
      </x:c>
      <x:c r="E32" s="10" t="str">
        <x:v>Chưa xác minh API hoặc quyền nhúng tự động; chưa gọi tích hợp là sẵn có</x:v>
      </x:c>
      <x:c r="F32" s="17" t="str">
        <x:v>https://www.blum.com/vn/vi/services/planning-construction-product-selection/cabinet-configurator/</x:v>
      </x:c>
      <x:c r="G32" s="19" t="n">
        <x:v>46289</x:v>
      </x:c>
    </x:row>
    <x:row r="33" ht="65" customHeight="1">
      <x:c r="A33" s="13" t="str">
        <x:v>N26</x:v>
      </x:c>
      <x:c r="B33" s="11" t="str">
        <x:v>SketchUp Length API</x:v>
      </x:c>
      <x:c r="C33" s="11" t="str">
        <x:v>API chính thức</x:v>
      </x:c>
      <x:c r="D33" s="11" t="str">
        <x:v>Nội bộ dùng inch; chuỗi hiển thị có làm tròn và dấu thập phân địa phương.</x:v>
      </x:c>
      <x:c r="E33" s="11" t="str">
        <x:v>Chưa chạy thử phần mềm hoặc máy thực tế</x:v>
      </x:c>
      <x:c r="F33" s="18" t="str">
        <x:v>https://ruby.sketchup.com/Length</x:v>
      </x:c>
      <x:c r="G33" s="20" t="n">
        <x:v>46289</x:v>
      </x:c>
    </x:row>
    <x:row r="34" ht="65" customHeight="1">
      <x:c r="A34" s="12" t="str">
        <x:v>N27</x:v>
      </x:c>
      <x:c r="B34" s="10" t="str">
        <x:v>SketchUp AttributeDictionary API</x:v>
      </x:c>
      <x:c r="C34" s="10" t="str">
        <x:v>API chính thức</x:v>
      </x:c>
      <x:c r="D34" s="10" t="str">
        <x:v>Gắn dữ liệu key value vào entity và model.</x:v>
      </x:c>
      <x:c r="E34" s="10" t="str">
        <x:v>Chưa chạy thử phần mềm hoặc máy thực tế</x:v>
      </x:c>
      <x:c r="F34" s="17" t="str">
        <x:v>https://ruby.sketchup.com/Sketchup/AttributeDictionary.html</x:v>
      </x:c>
      <x:c r="G34" s="19" t="n">
        <x:v>46289</x:v>
      </x:c>
    </x:row>
    <x:row r="35" ht="65" customHeight="1">
      <x:c r="A35" s="13" t="str">
        <x:v>N28</x:v>
      </x:c>
      <x:c r="B35" s="11" t="str">
        <x:v>SketchUp HtmlDialog API</x:v>
      </x:c>
      <x:c r="C35" s="11" t="str">
        <x:v>API chính thức</x:v>
      </x:c>
      <x:c r="D35" s="11" t="str">
        <x:v>Giao tiếp JS Ruby bằng callback bất đồng bộ.</x:v>
      </x:c>
      <x:c r="E35" s="11" t="str">
        <x:v>Chưa chạy thử phần mềm hoặc máy thực tế</x:v>
      </x:c>
      <x:c r="F35" s="18" t="str">
        <x:v>https://ruby.sketchup.com/UI/HtmlDialog.html</x:v>
      </x:c>
      <x:c r="G35" s="20" t="n">
        <x:v>46289</x:v>
      </x:c>
    </x:row>
    <x:row r="36" ht="65" customHeight="1">
      <x:c r="A36" s="12" t="str">
        <x:v>N29</x:v>
      </x:c>
      <x:c r="B36" s="10" t="str">
        <x:v>SketchUp EntitiesBuilder API</x:v>
      </x:c>
      <x:c r="C36" s="10" t="str">
        <x:v>API chính thức</x:v>
      </x:c>
      <x:c r="D36" s="10" t="str">
        <x:v>Dựng hình theo lô từ SketchUp 2022; người gọi phải đảm bảo tính đúng hình học.</x:v>
      </x:c>
      <x:c r="E36" s="10" t="str">
        <x:v>Chưa chạy thử phần mềm hoặc máy thực tế</x:v>
      </x:c>
      <x:c r="F36" s="17" t="str">
        <x:v>https://ruby.sketchup.com/Sketchup/EntitiesBuilder.html</x:v>
      </x:c>
      <x:c r="G36" s="19" t="n">
        <x:v>46289</x:v>
      </x:c>
    </x:row>
    <x:row r="37" ht="65" customHeight="1">
      <x:c r="A37" s="13" t="str">
        <x:v>N30</x:v>
      </x:c>
      <x:c r="B37" s="11" t="str">
        <x:v>SketchUp Model API</x:v>
      </x:c>
      <x:c r="C37" s="11" t="str">
        <x:v>API chính thức</x:v>
      </x:c>
      <x:c r="D37" s="11" t="str">
        <x:v>Operation undo và định vị instance path là nền để xây adapter.</x:v>
      </x:c>
      <x:c r="E37" s="11" t="str">
        <x:v>Đã tra mục API; cần regression trên SketchUp 2022 và 2024</x:v>
      </x:c>
      <x:c r="F37" s="18" t="str">
        <x:v>https://ruby.sketchup.com/Sketchup/Model.html</x:v>
      </x:c>
      <x:c r="G37" s="20" t="n">
        <x:v>46289</x:v>
      </x:c>
    </x:row>
    <x:row r="38" ht="65" customHeight="1">
      <x:c r="A38" s="12" t="str">
        <x:v>N31</x:v>
      </x:c>
      <x:c r="B38" s="10" t="str">
        <x:v>PackingSolver rectangle guillotine</x:v>
      </x:c>
      <x:c r="C38" s="10" t="str">
        <x:v>Tài liệu tác giả</x:v>
      </x:c>
      <x:c r="D38" s="10" t="str">
        <x:v>Bài toán cắt đường thẳng xuyên tấm có xén biên, kerf, hạn chế giai đoạn cắt.</x:v>
      </x:c>
      <x:c r="E38" s="10" t="str">
        <x:v>Chưa chạy thử phần mềm hoặc máy thực tế</x:v>
      </x:c>
      <x:c r="F38" s="17" t="str">
        <x:v>https://fontanf.github.io/packingsolver/rectangleguillotine.html</x:v>
      </x:c>
      <x:c r="G38" s="19" t="n">
        <x:v>46289</x:v>
      </x:c>
    </x:row>
    <x:row r="39" ht="65" customHeight="1">
      <x:c r="A39" s="13" t="str">
        <x:v>N32</x:v>
      </x:c>
      <x:c r="B39" s="11" t="str">
        <x:v>PackingSolver irregular</x:v>
      </x:c>
      <x:c r="C39" s="11" t="str">
        <x:v>Tài liệu tác giả</x:v>
      </x:c>
      <x:c r="D39" s="11" t="str">
        <x:v>Mô hình bài toán xếp chi tiết không chữ nhật.</x:v>
      </x:c>
      <x:c r="E39" s="11" t="str">
        <x:v>Nesting không tự cung cấp đường dao hay an toàn kẹp giữ</x:v>
      </x:c>
      <x:c r="F39" s="18" t="str">
        <x:v>https://fontanf.github.io/packingsolver/irregular.html</x:v>
      </x:c>
      <x:c r="G39" s="20" t="n">
        <x:v>46289</x:v>
      </x:c>
    </x:row>
    <x:row r="40" ht="65" customHeight="1">
      <x:c r="A40" s="12" t="str">
        <x:v>N33</x:v>
      </x:c>
      <x:c r="B40" s="10" t="str">
        <x:v>PackingSolver mã nguồn dự án</x:v>
      </x:c>
      <x:c r="C40" s="10" t="str">
        <x:v>Kho tác giả</x:v>
      </x:c>
      <x:c r="D40" s="10" t="str">
        <x:v>Đầu mối đánh giá tái sử dụng bộ giải thay vì tự viết toàn bộ.</x:v>
      </x:c>
      <x:c r="E40" s="10" t="str">
        <x:v>Cần audit giấy phép, phụ thuộc, phiên bản và chất lượng trước khi chọn</x:v>
      </x:c>
      <x:c r="F40" s="17" t="str">
        <x:v>https://github.com/fontanf/packingsolver</x:v>
      </x:c>
      <x:c r="G40" s="19" t="n">
        <x:v>46289</x:v>
      </x:c>
    </x:row>
    <x:row r="41" ht="65" customHeight="1">
      <x:c r="A41" s="13" t="str">
        <x:v>N34</x:v>
      </x:c>
      <x:c r="B41" s="11" t="str">
        <x:v>Deepnest mã nguồn dự án</x:v>
      </x:c>
      <x:c r="C41" s="11" t="str">
        <x:v>Kho tác giả</x:v>
      </x:c>
      <x:c r="D41" s="11" t="str">
        <x:v>Đầu mối tham khảo nesting hình bất quy tắc.</x:v>
      </x:c>
      <x:c r="E41" s="11" t="str">
        <x:v>Chưa audit mã nguồn; không đánh đồng thuật toán cắt laser với router gỗ</x:v>
      </x:c>
      <x:c r="F41" s="18" t="str">
        <x:v>https://github.com/Jack000/Deepnest</x:v>
      </x:c>
      <x:c r="G41" s="20" t="n">
        <x:v>46289</x:v>
      </x:c>
    </x:row>
  </x:sheetData>
  <x:pageMargins left="0.7" right="0.7" top="0.75" bottom="0.75" header="0.3" footer="0.3"/>
  <x:tableParts count="1">
    <x:tablePart xmlns:r="http://schemas.openxmlformats.org/officeDocument/2006/relationships" r:id="Rf23454a0ff6b4a17"/>
  </x:tableParts>
</x:worksheet>
</file>